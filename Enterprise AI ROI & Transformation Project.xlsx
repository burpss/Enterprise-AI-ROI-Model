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bmajumdar/Desktop/Important Documents/Resume &amp; Corporate/Portfolio Projects/"/>
    </mc:Choice>
  </mc:AlternateContent>
  <xr:revisionPtr revIDLastSave="0" documentId="13_ncr:1_{D450BBDF-B2F9-F34C-B137-DC9B6AA69DDE}" xr6:coauthVersionLast="47" xr6:coauthVersionMax="47" xr10:uidLastSave="{00000000-0000-0000-0000-000000000000}"/>
  <bookViews>
    <workbookView xWindow="0" yWindow="600" windowWidth="32740" windowHeight="18180" xr2:uid="{A627FD68-AFD1-9C47-9617-FFCA302EEFF9}"/>
  </bookViews>
  <sheets>
    <sheet name="Assumptions" sheetId="1" r:id="rId1"/>
    <sheet name="Cost_Tableau Export" sheetId="7" r:id="rId2"/>
    <sheet name="Costs" sheetId="2" r:id="rId3"/>
    <sheet name="Benefits_Tableau Export" sheetId="8" r:id="rId4"/>
    <sheet name="Benefits" sheetId="3" r:id="rId5"/>
    <sheet name="Dashboard" sheetId="4" r:id="rId6"/>
    <sheet name="Tableau Export" sheetId="5" r:id="rId7"/>
  </sheets>
  <definedNames>
    <definedName name="ExternalData_1" localSheetId="3" hidden="1">'Benefits_Tableau Export'!$A$1:$C$186</definedName>
    <definedName name="ExternalData_1" localSheetId="1" hidden="1">'Cost_Tableau Export'!$A$1:$C$149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4" l="1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B10" i="4"/>
  <c r="B7" i="3"/>
  <c r="B12" i="4" s="1"/>
  <c r="D4" i="3"/>
  <c r="D5" i="3" s="1"/>
  <c r="D7" i="3" s="1"/>
  <c r="D12" i="4" s="1"/>
  <c r="F4" i="3"/>
  <c r="F5" i="3" s="1"/>
  <c r="F7" i="3" s="1"/>
  <c r="F12" i="4" s="1"/>
  <c r="H4" i="3"/>
  <c r="H5" i="3" s="1"/>
  <c r="H7" i="3" s="1"/>
  <c r="H12" i="4" s="1"/>
  <c r="J4" i="3"/>
  <c r="J5" i="3" s="1"/>
  <c r="J7" i="3" s="1"/>
  <c r="J12" i="4" s="1"/>
  <c r="L4" i="3"/>
  <c r="L5" i="3" s="1"/>
  <c r="L7" i="3" s="1"/>
  <c r="L12" i="4" s="1"/>
  <c r="N4" i="3"/>
  <c r="N5" i="3" s="1"/>
  <c r="N7" i="3" s="1"/>
  <c r="N12" i="4" s="1"/>
  <c r="P4" i="3"/>
  <c r="P5" i="3" s="1"/>
  <c r="P7" i="3" s="1"/>
  <c r="P12" i="4" s="1"/>
  <c r="R4" i="3"/>
  <c r="R5" i="3" s="1"/>
  <c r="R7" i="3" s="1"/>
  <c r="R12" i="4" s="1"/>
  <c r="T4" i="3"/>
  <c r="T5" i="3" s="1"/>
  <c r="T7" i="3" s="1"/>
  <c r="T12" i="4" s="1"/>
  <c r="V4" i="3"/>
  <c r="V5" i="3" s="1"/>
  <c r="V7" i="3" s="1"/>
  <c r="V12" i="4" s="1"/>
  <c r="X4" i="3"/>
  <c r="X5" i="3" s="1"/>
  <c r="X7" i="3" s="1"/>
  <c r="X12" i="4" s="1"/>
  <c r="Z4" i="3"/>
  <c r="Z5" i="3" s="1"/>
  <c r="Z7" i="3" s="1"/>
  <c r="Z12" i="4" s="1"/>
  <c r="AB4" i="3"/>
  <c r="AB5" i="3" s="1"/>
  <c r="AB7" i="3" s="1"/>
  <c r="AB12" i="4" s="1"/>
  <c r="AD4" i="3"/>
  <c r="AD5" i="3" s="1"/>
  <c r="AD7" i="3" s="1"/>
  <c r="AD12" i="4" s="1"/>
  <c r="AF4" i="3"/>
  <c r="AF5" i="3" s="1"/>
  <c r="AF7" i="3" s="1"/>
  <c r="AF12" i="4" s="1"/>
  <c r="AH4" i="3"/>
  <c r="AH5" i="3" s="1"/>
  <c r="AH7" i="3" s="1"/>
  <c r="AH12" i="4" s="1"/>
  <c r="AJ4" i="3"/>
  <c r="AJ5" i="3" s="1"/>
  <c r="AJ7" i="3" s="1"/>
  <c r="AJ12" i="4" s="1"/>
  <c r="AL4" i="3"/>
  <c r="AL5" i="3" s="1"/>
  <c r="AL7" i="3" s="1"/>
  <c r="AL12" i="4" s="1"/>
  <c r="D3" i="3"/>
  <c r="E3" i="3"/>
  <c r="E4" i="3" s="1"/>
  <c r="E5" i="3" s="1"/>
  <c r="E7" i="3" s="1"/>
  <c r="E12" i="4" s="1"/>
  <c r="F3" i="3"/>
  <c r="G3" i="3"/>
  <c r="G4" i="3" s="1"/>
  <c r="G5" i="3" s="1"/>
  <c r="G7" i="3" s="1"/>
  <c r="G12" i="4" s="1"/>
  <c r="H3" i="3"/>
  <c r="I3" i="3"/>
  <c r="I4" i="3" s="1"/>
  <c r="I5" i="3" s="1"/>
  <c r="I7" i="3" s="1"/>
  <c r="I12" i="4" s="1"/>
  <c r="I13" i="4" s="1"/>
  <c r="J3" i="3"/>
  <c r="K3" i="3"/>
  <c r="K4" i="3" s="1"/>
  <c r="K5" i="3" s="1"/>
  <c r="K7" i="3" s="1"/>
  <c r="K12" i="4" s="1"/>
  <c r="L3" i="3"/>
  <c r="M3" i="3"/>
  <c r="M4" i="3" s="1"/>
  <c r="M5" i="3" s="1"/>
  <c r="M7" i="3" s="1"/>
  <c r="M12" i="4" s="1"/>
  <c r="N3" i="3"/>
  <c r="O3" i="3"/>
  <c r="O4" i="3" s="1"/>
  <c r="O5" i="3" s="1"/>
  <c r="O7" i="3" s="1"/>
  <c r="O12" i="4" s="1"/>
  <c r="P3" i="3"/>
  <c r="Q3" i="3"/>
  <c r="Q4" i="3" s="1"/>
  <c r="Q5" i="3" s="1"/>
  <c r="Q7" i="3" s="1"/>
  <c r="Q12" i="4" s="1"/>
  <c r="R3" i="3"/>
  <c r="S3" i="3"/>
  <c r="S4" i="3" s="1"/>
  <c r="S5" i="3" s="1"/>
  <c r="S7" i="3" s="1"/>
  <c r="S12" i="4" s="1"/>
  <c r="T3" i="3"/>
  <c r="U3" i="3"/>
  <c r="U4" i="3" s="1"/>
  <c r="U5" i="3" s="1"/>
  <c r="U7" i="3" s="1"/>
  <c r="U12" i="4" s="1"/>
  <c r="V3" i="3"/>
  <c r="W3" i="3"/>
  <c r="W4" i="3" s="1"/>
  <c r="W5" i="3" s="1"/>
  <c r="W7" i="3" s="1"/>
  <c r="W12" i="4" s="1"/>
  <c r="X3" i="3"/>
  <c r="Y3" i="3"/>
  <c r="Y4" i="3" s="1"/>
  <c r="Y5" i="3" s="1"/>
  <c r="Y7" i="3" s="1"/>
  <c r="Y12" i="4" s="1"/>
  <c r="Z3" i="3"/>
  <c r="AA3" i="3"/>
  <c r="AA4" i="3" s="1"/>
  <c r="AA5" i="3" s="1"/>
  <c r="AA7" i="3" s="1"/>
  <c r="AA12" i="4" s="1"/>
  <c r="AB3" i="3"/>
  <c r="AC3" i="3"/>
  <c r="AC4" i="3" s="1"/>
  <c r="AC5" i="3" s="1"/>
  <c r="AC7" i="3" s="1"/>
  <c r="AC12" i="4" s="1"/>
  <c r="AD3" i="3"/>
  <c r="AE3" i="3"/>
  <c r="AE4" i="3" s="1"/>
  <c r="AE5" i="3" s="1"/>
  <c r="AE7" i="3" s="1"/>
  <c r="AE12" i="4" s="1"/>
  <c r="AF3" i="3"/>
  <c r="AG3" i="3"/>
  <c r="AG4" i="3" s="1"/>
  <c r="AG5" i="3" s="1"/>
  <c r="AG7" i="3" s="1"/>
  <c r="AG12" i="4" s="1"/>
  <c r="AH3" i="3"/>
  <c r="AI3" i="3"/>
  <c r="AI4" i="3" s="1"/>
  <c r="AI5" i="3" s="1"/>
  <c r="AI7" i="3" s="1"/>
  <c r="AI12" i="4" s="1"/>
  <c r="AJ3" i="3"/>
  <c r="AK3" i="3"/>
  <c r="AK4" i="3" s="1"/>
  <c r="AK5" i="3" s="1"/>
  <c r="AK7" i="3" s="1"/>
  <c r="AK12" i="4" s="1"/>
  <c r="AL3" i="3"/>
  <c r="C3" i="3"/>
  <c r="C4" i="3" s="1"/>
  <c r="C5" i="3" s="1"/>
  <c r="C7" i="3" s="1"/>
  <c r="C12" i="4" s="1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B1" i="3"/>
  <c r="C6" i="2"/>
  <c r="C11" i="4" s="1"/>
  <c r="I6" i="2"/>
  <c r="I11" i="4" s="1"/>
  <c r="K6" i="2"/>
  <c r="K11" i="4" s="1"/>
  <c r="M6" i="2"/>
  <c r="M11" i="4" s="1"/>
  <c r="B6" i="2"/>
  <c r="B11" i="4" s="1"/>
  <c r="D4" i="2"/>
  <c r="D6" i="2" s="1"/>
  <c r="D11" i="4" s="1"/>
  <c r="E4" i="2"/>
  <c r="E6" i="2" s="1"/>
  <c r="E11" i="4" s="1"/>
  <c r="F4" i="2"/>
  <c r="F6" i="2" s="1"/>
  <c r="F11" i="4" s="1"/>
  <c r="G4" i="2"/>
  <c r="G6" i="2" s="1"/>
  <c r="G11" i="4" s="1"/>
  <c r="H4" i="2"/>
  <c r="H6" i="2" s="1"/>
  <c r="H11" i="4" s="1"/>
  <c r="I4" i="2"/>
  <c r="J4" i="2"/>
  <c r="J6" i="2" s="1"/>
  <c r="J11" i="4" s="1"/>
  <c r="K4" i="2"/>
  <c r="L4" i="2"/>
  <c r="L6" i="2" s="1"/>
  <c r="L11" i="4" s="1"/>
  <c r="M4" i="2"/>
  <c r="N4" i="2"/>
  <c r="N6" i="2" s="1"/>
  <c r="N11" i="4" s="1"/>
  <c r="O4" i="2"/>
  <c r="O6" i="2" s="1"/>
  <c r="O11" i="4" s="1"/>
  <c r="P4" i="2"/>
  <c r="P6" i="2" s="1"/>
  <c r="P11" i="4" s="1"/>
  <c r="Q4" i="2"/>
  <c r="Q6" i="2" s="1"/>
  <c r="Q11" i="4" s="1"/>
  <c r="R4" i="2"/>
  <c r="R6" i="2" s="1"/>
  <c r="R11" i="4" s="1"/>
  <c r="S4" i="2"/>
  <c r="S6" i="2" s="1"/>
  <c r="S11" i="4" s="1"/>
  <c r="T4" i="2"/>
  <c r="T6" i="2" s="1"/>
  <c r="T11" i="4" s="1"/>
  <c r="U4" i="2"/>
  <c r="U6" i="2" s="1"/>
  <c r="U11" i="4" s="1"/>
  <c r="V4" i="2"/>
  <c r="V6" i="2" s="1"/>
  <c r="V11" i="4" s="1"/>
  <c r="W4" i="2"/>
  <c r="W6" i="2" s="1"/>
  <c r="W11" i="4" s="1"/>
  <c r="X4" i="2"/>
  <c r="X6" i="2" s="1"/>
  <c r="X11" i="4" s="1"/>
  <c r="Y4" i="2"/>
  <c r="Y6" i="2" s="1"/>
  <c r="Y11" i="4" s="1"/>
  <c r="Z4" i="2"/>
  <c r="Z6" i="2" s="1"/>
  <c r="Z11" i="4" s="1"/>
  <c r="AA4" i="2"/>
  <c r="AA6" i="2" s="1"/>
  <c r="AA11" i="4" s="1"/>
  <c r="AB4" i="2"/>
  <c r="AB6" i="2" s="1"/>
  <c r="AB11" i="4" s="1"/>
  <c r="AC4" i="2"/>
  <c r="AC6" i="2" s="1"/>
  <c r="AC11" i="4" s="1"/>
  <c r="AD4" i="2"/>
  <c r="AD6" i="2" s="1"/>
  <c r="AD11" i="4" s="1"/>
  <c r="AE4" i="2"/>
  <c r="AE6" i="2" s="1"/>
  <c r="AE11" i="4" s="1"/>
  <c r="AF4" i="2"/>
  <c r="AF6" i="2" s="1"/>
  <c r="AF11" i="4" s="1"/>
  <c r="AG4" i="2"/>
  <c r="AG6" i="2" s="1"/>
  <c r="AG11" i="4" s="1"/>
  <c r="AH4" i="2"/>
  <c r="AH6" i="2" s="1"/>
  <c r="AH11" i="4" s="1"/>
  <c r="AI4" i="2"/>
  <c r="AI6" i="2" s="1"/>
  <c r="AI11" i="4" s="1"/>
  <c r="AJ4" i="2"/>
  <c r="AJ6" i="2" s="1"/>
  <c r="AJ11" i="4" s="1"/>
  <c r="AK4" i="2"/>
  <c r="AK6" i="2" s="1"/>
  <c r="AK11" i="4" s="1"/>
  <c r="AL4" i="2"/>
  <c r="AL6" i="2" s="1"/>
  <c r="AL11" i="4" s="1"/>
  <c r="C4" i="2"/>
  <c r="B3" i="2"/>
  <c r="B2" i="2"/>
  <c r="B2" i="4" l="1"/>
  <c r="AG13" i="4"/>
  <c r="AA13" i="4"/>
  <c r="U13" i="4"/>
  <c r="B13" i="4"/>
  <c r="B14" i="4" s="1"/>
  <c r="AK13" i="4"/>
  <c r="AE13" i="4"/>
  <c r="Y13" i="4"/>
  <c r="S13" i="4"/>
  <c r="M13" i="4"/>
  <c r="G13" i="4"/>
  <c r="AI13" i="4"/>
  <c r="AC13" i="4"/>
  <c r="W13" i="4"/>
  <c r="Q13" i="4"/>
  <c r="K13" i="4"/>
  <c r="E13" i="4"/>
  <c r="O13" i="4"/>
  <c r="T13" i="4"/>
  <c r="N13" i="4"/>
  <c r="H13" i="4"/>
  <c r="AL13" i="4"/>
  <c r="L13" i="4"/>
  <c r="AH13" i="4"/>
  <c r="AF13" i="4"/>
  <c r="Z13" i="4"/>
  <c r="AJ13" i="4"/>
  <c r="AD13" i="4"/>
  <c r="X13" i="4"/>
  <c r="R13" i="4"/>
  <c r="F13" i="4"/>
  <c r="V13" i="4"/>
  <c r="P13" i="4"/>
  <c r="J13" i="4"/>
  <c r="D13" i="4"/>
  <c r="AB13" i="4"/>
  <c r="C13" i="4"/>
  <c r="C14" i="4" s="1"/>
  <c r="D14" i="4" s="1"/>
  <c r="E14" i="4" s="1"/>
  <c r="F14" i="4" s="1"/>
  <c r="G14" i="4" s="1"/>
  <c r="B3" i="4"/>
  <c r="B4" i="4" s="1"/>
  <c r="H14" i="4" l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000E3-F077-674F-BBD1-E4094542A172}" keepAlive="1" name="Query - Benefits" description="Connection to the 'Benefits' query in the workbook." type="5" refreshedVersion="8" background="1" saveData="1">
    <dbPr connection="Provider=Microsoft.Mashup.OleDb.1;Data Source=$Workbook$;Location=Benefits;Extended Properties=&quot;&quot;" command="SELECT * FROM [Benefits]"/>
  </connection>
  <connection id="2" xr16:uid="{10F8D3DC-3419-9E45-A795-9D88E194C9B6}" keepAlive="1" name="Query - Costs (2)" description="Connection to the 'Costs (2)' query in the workbook." type="5" refreshedVersion="8" background="1" saveData="1">
    <dbPr connection="Provider=Microsoft.Mashup.OleDb.1;Data Source=$Workbook$;Location=&quot;Costs (2)&quot;;Extended Properties=&quot;&quot;" command="SELECT * FROM [Costs (2)]"/>
  </connection>
</connections>
</file>

<file path=xl/sharedStrings.xml><?xml version="1.0" encoding="utf-8"?>
<sst xmlns="http://schemas.openxmlformats.org/spreadsheetml/2006/main" count="1717" uniqueCount="76">
  <si>
    <t>Category</t>
  </si>
  <si>
    <t>Value</t>
  </si>
  <si>
    <t>Variable Name</t>
  </si>
  <si>
    <t>Unit</t>
  </si>
  <si>
    <t>CapEx</t>
  </si>
  <si>
    <t>Implementation Consulting Fee</t>
  </si>
  <si>
    <t>Initial Training Time Per User</t>
  </si>
  <si>
    <t>$</t>
  </si>
  <si>
    <t>Hours</t>
  </si>
  <si>
    <t>OpEx</t>
  </si>
  <si>
    <t>Monthly AI License Fee</t>
  </si>
  <si>
    <t>Total number of Users</t>
  </si>
  <si>
    <t>$/user/month</t>
  </si>
  <si>
    <t>Employees</t>
  </si>
  <si>
    <t>Benefits</t>
  </si>
  <si>
    <t>Average Employee Salary</t>
  </si>
  <si>
    <t>Time Saved per Week</t>
  </si>
  <si>
    <t>$/year</t>
  </si>
  <si>
    <t>Month</t>
  </si>
  <si>
    <t>Implementation Fee</t>
  </si>
  <si>
    <t>Initial Training Cost</t>
  </si>
  <si>
    <t>Monthly AI Licenses</t>
  </si>
  <si>
    <t>TOTAL MONTHLY COSTS</t>
  </si>
  <si>
    <t>Adoption Rate</t>
  </si>
  <si>
    <t>Active AI Users</t>
  </si>
  <si>
    <t>Total Hours Saved</t>
  </si>
  <si>
    <t>Financial Value of Time Saved</t>
  </si>
  <si>
    <t>TOTAL MONTHLY BENEFITS</t>
  </si>
  <si>
    <t>Total Costs</t>
  </si>
  <si>
    <t>Total Benefits</t>
  </si>
  <si>
    <t>Net Cash Flow</t>
  </si>
  <si>
    <t>Cumulative Cash Flow</t>
  </si>
  <si>
    <t>Total 3 -Year Investment</t>
  </si>
  <si>
    <t>Total 3 - Year Savings</t>
  </si>
  <si>
    <t>Net ROI</t>
  </si>
  <si>
    <t>Breakeven Month</t>
  </si>
  <si>
    <t>Line Item</t>
  </si>
  <si>
    <t>Amount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</si>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</sst>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theme="9" tint="-0.24997711111789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2" fillId="2" borderId="0" xfId="0" applyFont="1" applyFill="1"/>
    <xf numFmtId="9" fontId="2" fillId="2" borderId="0" xfId="0" applyNumberFormat="1" applyFont="1" applyFill="1"/>
    <xf numFmtId="0" fontId="2" fillId="2" borderId="4" xfId="0" applyFont="1" applyFill="1" applyBorder="1"/>
    <xf numFmtId="0" fontId="3" fillId="0" borderId="0" xfId="0" applyFont="1"/>
    <xf numFmtId="0" fontId="0" fillId="3" borderId="7" xfId="0" applyFill="1" applyBorder="1"/>
    <xf numFmtId="0" fontId="0" fillId="0" borderId="7" xfId="0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51E536-9034-8744-9316-1648D1215DD7}" autoFormatId="16" applyNumberFormats="0" applyBorderFormats="0" applyFontFormats="0" applyPatternFormats="0" applyAlignmentFormats="0" applyWidthHeightFormats="0">
  <queryTableRefresh nextId="4">
    <queryTableFields count="3">
      <queryTableField id="1" name="Line Item" tableColumnId="1"/>
      <queryTableField id="2" name="Month" tableColumnId="2"/>
      <queryTableField id="3" name="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109053-A011-B643-B05D-02563756E544}" autoFormatId="16" applyNumberFormats="0" applyBorderFormats="0" applyFontFormats="0" applyPatternFormats="0" applyAlignmentFormats="0" applyWidthHeightFormats="0">
  <queryTableRefresh nextId="4">
    <queryTableFields count="3">
      <queryTableField id="1" name="Line Item" tableColumnId="1"/>
      <queryTableField id="2" name="Month" tableColumnId="2"/>
      <queryTableField id="3" name="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9F1E65-387F-4C48-A7EE-8B80D2279472}" name="Costs__2" displayName="Costs__2" ref="A1:C149" tableType="queryTable" totalsRowShown="0">
  <autoFilter ref="A1:C149" xr:uid="{B09F1E65-387F-4C48-A7EE-8B80D2279472}"/>
  <tableColumns count="3">
    <tableColumn id="1" xr3:uid="{E719A7B6-4061-0D4D-BF69-9E9325C85552}" uniqueName="1" name="Line Item" queryTableFieldId="1" dataDxfId="3"/>
    <tableColumn id="2" xr3:uid="{9534FBD5-AA94-E74C-8387-82226B52917A}" uniqueName="2" name="Month" queryTableFieldId="2" dataDxfId="2"/>
    <tableColumn id="3" xr3:uid="{7C934ECE-45F4-0A4E-952B-83A95420E1BF}" uniqueName="3" name="Am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CDAD14-19F1-EE4F-BCAB-50EF54C7E234}" name="Benefits" displayName="Benefits" ref="A1:C186" tableType="queryTable" totalsRowShown="0">
  <autoFilter ref="A1:C186" xr:uid="{8FCDAD14-19F1-EE4F-BCAB-50EF54C7E234}"/>
  <tableColumns count="3">
    <tableColumn id="1" xr3:uid="{4E865300-2D42-C345-852C-50D81A94DA28}" uniqueName="1" name="Line Item" queryTableFieldId="1" dataDxfId="1"/>
    <tableColumn id="2" xr3:uid="{9171A8FD-0873-F94E-8229-C911D34A8238}" uniqueName="2" name="Month" queryTableFieldId="2" dataDxfId="0"/>
    <tableColumn id="3" xr3:uid="{EF11A262-8D75-C240-A64B-DAEB2F65609B}" uniqueName="3" name="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AB9-C9DA-8444-88DD-37595615DA4A}">
  <dimension ref="A1:D7"/>
  <sheetViews>
    <sheetView tabSelected="1" zoomScale="113" workbookViewId="0">
      <selection activeCell="C19" sqref="C19"/>
    </sheetView>
  </sheetViews>
  <sheetFormatPr baseColWidth="10" defaultRowHeight="16" x14ac:dyDescent="0.2"/>
  <cols>
    <col min="2" max="2" width="26.83203125" bestFit="1" customWidth="1"/>
    <col min="3" max="3" width="10.83203125" style="3"/>
    <col min="4" max="4" width="12.1640625" style="3" bestFit="1" customWidth="1"/>
  </cols>
  <sheetData>
    <row r="1" spans="1:4" ht="19" x14ac:dyDescent="0.25">
      <c r="A1" s="1" t="s">
        <v>0</v>
      </c>
      <c r="B1" s="2" t="s">
        <v>2</v>
      </c>
      <c r="C1" s="4" t="s">
        <v>1</v>
      </c>
      <c r="D1" s="5" t="s">
        <v>3</v>
      </c>
    </row>
    <row r="2" spans="1:4" x14ac:dyDescent="0.2">
      <c r="A2" s="7" t="s">
        <v>4</v>
      </c>
      <c r="B2" s="7" t="s">
        <v>5</v>
      </c>
      <c r="C2" s="6">
        <v>50000</v>
      </c>
      <c r="D2" s="8" t="s">
        <v>7</v>
      </c>
    </row>
    <row r="3" spans="1:4" x14ac:dyDescent="0.2">
      <c r="A3" s="7" t="s">
        <v>4</v>
      </c>
      <c r="B3" s="7" t="s">
        <v>6</v>
      </c>
      <c r="C3" s="6">
        <v>5</v>
      </c>
      <c r="D3" s="8" t="s">
        <v>8</v>
      </c>
    </row>
    <row r="4" spans="1:4" x14ac:dyDescent="0.2">
      <c r="A4" s="7" t="s">
        <v>9</v>
      </c>
      <c r="B4" s="7" t="s">
        <v>10</v>
      </c>
      <c r="C4" s="6">
        <v>30</v>
      </c>
      <c r="D4" s="8" t="s">
        <v>12</v>
      </c>
    </row>
    <row r="5" spans="1:4" x14ac:dyDescent="0.2">
      <c r="A5" s="7" t="s">
        <v>9</v>
      </c>
      <c r="B5" s="7" t="s">
        <v>11</v>
      </c>
      <c r="C5" s="6">
        <v>200</v>
      </c>
      <c r="D5" s="8" t="s">
        <v>13</v>
      </c>
    </row>
    <row r="6" spans="1:4" x14ac:dyDescent="0.2">
      <c r="A6" s="7" t="s">
        <v>14</v>
      </c>
      <c r="B6" s="7" t="s">
        <v>15</v>
      </c>
      <c r="C6" s="6">
        <v>85000</v>
      </c>
      <c r="D6" s="8" t="s">
        <v>17</v>
      </c>
    </row>
    <row r="7" spans="1:4" x14ac:dyDescent="0.2">
      <c r="A7" s="7" t="s">
        <v>14</v>
      </c>
      <c r="B7" s="7" t="s">
        <v>16</v>
      </c>
      <c r="C7" s="6">
        <v>8</v>
      </c>
      <c r="D7" s="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07C2-83FA-544A-A025-E0F7D96D1014}">
  <dimension ref="A1:C149"/>
  <sheetViews>
    <sheetView workbookViewId="0">
      <selection activeCell="A2" sqref="A2:C149"/>
    </sheetView>
  </sheetViews>
  <sheetFormatPr baseColWidth="10" defaultRowHeight="16" x14ac:dyDescent="0.2"/>
  <cols>
    <col min="1" max="1" width="20.5" bestFit="1" customWidth="1"/>
    <col min="2" max="2" width="8.83203125" bestFit="1" customWidth="1"/>
    <col min="3" max="3" width="10.1640625" bestFit="1" customWidth="1"/>
  </cols>
  <sheetData>
    <row r="1" spans="1:3" x14ac:dyDescent="0.2">
      <c r="A1" t="s">
        <v>36</v>
      </c>
      <c r="B1" t="s">
        <v>18</v>
      </c>
      <c r="C1" t="s">
        <v>37</v>
      </c>
    </row>
    <row r="2" spans="1:3" x14ac:dyDescent="0.2">
      <c r="A2" t="s">
        <v>19</v>
      </c>
      <c r="B2" t="s">
        <v>38</v>
      </c>
      <c r="C2">
        <v>50000</v>
      </c>
    </row>
    <row r="3" spans="1:3" x14ac:dyDescent="0.2">
      <c r="A3" t="s">
        <v>19</v>
      </c>
      <c r="B3" t="s">
        <v>39</v>
      </c>
      <c r="C3">
        <v>0</v>
      </c>
    </row>
    <row r="4" spans="1:3" x14ac:dyDescent="0.2">
      <c r="A4" t="s">
        <v>19</v>
      </c>
      <c r="B4" t="s">
        <v>40</v>
      </c>
      <c r="C4">
        <v>0</v>
      </c>
    </row>
    <row r="5" spans="1:3" x14ac:dyDescent="0.2">
      <c r="A5" t="s">
        <v>19</v>
      </c>
      <c r="B5" t="s">
        <v>41</v>
      </c>
      <c r="C5">
        <v>0</v>
      </c>
    </row>
    <row r="6" spans="1:3" x14ac:dyDescent="0.2">
      <c r="A6" t="s">
        <v>19</v>
      </c>
      <c r="B6" t="s">
        <v>42</v>
      </c>
      <c r="C6">
        <v>0</v>
      </c>
    </row>
    <row r="7" spans="1:3" x14ac:dyDescent="0.2">
      <c r="A7" t="s">
        <v>19</v>
      </c>
      <c r="B7" t="s">
        <v>43</v>
      </c>
      <c r="C7">
        <v>0</v>
      </c>
    </row>
    <row r="8" spans="1:3" x14ac:dyDescent="0.2">
      <c r="A8" t="s">
        <v>19</v>
      </c>
      <c r="B8" t="s">
        <v>44</v>
      </c>
      <c r="C8">
        <v>0</v>
      </c>
    </row>
    <row r="9" spans="1:3" x14ac:dyDescent="0.2">
      <c r="A9" t="s">
        <v>19</v>
      </c>
      <c r="B9" t="s">
        <v>45</v>
      </c>
      <c r="C9">
        <v>0</v>
      </c>
    </row>
    <row r="10" spans="1:3" x14ac:dyDescent="0.2">
      <c r="A10" t="s">
        <v>19</v>
      </c>
      <c r="B10" t="s">
        <v>46</v>
      </c>
      <c r="C10">
        <v>0</v>
      </c>
    </row>
    <row r="11" spans="1:3" x14ac:dyDescent="0.2">
      <c r="A11" t="s">
        <v>19</v>
      </c>
      <c r="B11" t="s">
        <v>47</v>
      </c>
      <c r="C11">
        <v>0</v>
      </c>
    </row>
    <row r="12" spans="1:3" x14ac:dyDescent="0.2">
      <c r="A12" t="s">
        <v>19</v>
      </c>
      <c r="B12" t="s">
        <v>48</v>
      </c>
      <c r="C12">
        <v>0</v>
      </c>
    </row>
    <row r="13" spans="1:3" x14ac:dyDescent="0.2">
      <c r="A13" t="s">
        <v>19</v>
      </c>
      <c r="B13" t="s">
        <v>49</v>
      </c>
      <c r="C13">
        <v>0</v>
      </c>
    </row>
    <row r="14" spans="1:3" x14ac:dyDescent="0.2">
      <c r="A14" t="s">
        <v>19</v>
      </c>
      <c r="B14" t="s">
        <v>50</v>
      </c>
      <c r="C14">
        <v>0</v>
      </c>
    </row>
    <row r="15" spans="1:3" x14ac:dyDescent="0.2">
      <c r="A15" t="s">
        <v>19</v>
      </c>
      <c r="B15" t="s">
        <v>51</v>
      </c>
      <c r="C15">
        <v>0</v>
      </c>
    </row>
    <row r="16" spans="1:3" x14ac:dyDescent="0.2">
      <c r="A16" t="s">
        <v>19</v>
      </c>
      <c r="B16" t="s">
        <v>52</v>
      </c>
      <c r="C16">
        <v>0</v>
      </c>
    </row>
    <row r="17" spans="1:3" x14ac:dyDescent="0.2">
      <c r="A17" t="s">
        <v>19</v>
      </c>
      <c r="B17" t="s">
        <v>53</v>
      </c>
      <c r="C17">
        <v>0</v>
      </c>
    </row>
    <row r="18" spans="1:3" x14ac:dyDescent="0.2">
      <c r="A18" t="s">
        <v>19</v>
      </c>
      <c r="B18" t="s">
        <v>54</v>
      </c>
      <c r="C18">
        <v>0</v>
      </c>
    </row>
    <row r="19" spans="1:3" x14ac:dyDescent="0.2">
      <c r="A19" t="s">
        <v>19</v>
      </c>
      <c r="B19" t="s">
        <v>55</v>
      </c>
      <c r="C19">
        <v>0</v>
      </c>
    </row>
    <row r="20" spans="1:3" x14ac:dyDescent="0.2">
      <c r="A20" t="s">
        <v>19</v>
      </c>
      <c r="B20" t="s">
        <v>56</v>
      </c>
      <c r="C20">
        <v>0</v>
      </c>
    </row>
    <row r="21" spans="1:3" x14ac:dyDescent="0.2">
      <c r="A21" t="s">
        <v>19</v>
      </c>
      <c r="B21" t="s">
        <v>57</v>
      </c>
      <c r="C21">
        <v>0</v>
      </c>
    </row>
    <row r="22" spans="1:3" x14ac:dyDescent="0.2">
      <c r="A22" t="s">
        <v>19</v>
      </c>
      <c r="B22" t="s">
        <v>58</v>
      </c>
      <c r="C22">
        <v>0</v>
      </c>
    </row>
    <row r="23" spans="1:3" x14ac:dyDescent="0.2">
      <c r="A23" t="s">
        <v>19</v>
      </c>
      <c r="B23" t="s">
        <v>59</v>
      </c>
      <c r="C23">
        <v>0</v>
      </c>
    </row>
    <row r="24" spans="1:3" x14ac:dyDescent="0.2">
      <c r="A24" t="s">
        <v>19</v>
      </c>
      <c r="B24" t="s">
        <v>60</v>
      </c>
      <c r="C24">
        <v>0</v>
      </c>
    </row>
    <row r="25" spans="1:3" x14ac:dyDescent="0.2">
      <c r="A25" t="s">
        <v>19</v>
      </c>
      <c r="B25" t="s">
        <v>61</v>
      </c>
      <c r="C25">
        <v>0</v>
      </c>
    </row>
    <row r="26" spans="1:3" x14ac:dyDescent="0.2">
      <c r="A26" t="s">
        <v>19</v>
      </c>
      <c r="B26" t="s">
        <v>62</v>
      </c>
      <c r="C26">
        <v>0</v>
      </c>
    </row>
    <row r="27" spans="1:3" x14ac:dyDescent="0.2">
      <c r="A27" t="s">
        <v>19</v>
      </c>
      <c r="B27" t="s">
        <v>63</v>
      </c>
      <c r="C27">
        <v>0</v>
      </c>
    </row>
    <row r="28" spans="1:3" x14ac:dyDescent="0.2">
      <c r="A28" t="s">
        <v>19</v>
      </c>
      <c r="B28" t="s">
        <v>64</v>
      </c>
      <c r="C28">
        <v>0</v>
      </c>
    </row>
    <row r="29" spans="1:3" x14ac:dyDescent="0.2">
      <c r="A29" t="s">
        <v>19</v>
      </c>
      <c r="B29" t="s">
        <v>65</v>
      </c>
      <c r="C29">
        <v>0</v>
      </c>
    </row>
    <row r="30" spans="1:3" x14ac:dyDescent="0.2">
      <c r="A30" t="s">
        <v>19</v>
      </c>
      <c r="B30" t="s">
        <v>66</v>
      </c>
      <c r="C30">
        <v>0</v>
      </c>
    </row>
    <row r="31" spans="1:3" x14ac:dyDescent="0.2">
      <c r="A31" t="s">
        <v>19</v>
      </c>
      <c r="B31" t="s">
        <v>67</v>
      </c>
      <c r="C31">
        <v>0</v>
      </c>
    </row>
    <row r="32" spans="1:3" x14ac:dyDescent="0.2">
      <c r="A32" t="s">
        <v>19</v>
      </c>
      <c r="B32" t="s">
        <v>68</v>
      </c>
      <c r="C32">
        <v>0</v>
      </c>
    </row>
    <row r="33" spans="1:3" x14ac:dyDescent="0.2">
      <c r="A33" t="s">
        <v>19</v>
      </c>
      <c r="B33" t="s">
        <v>69</v>
      </c>
      <c r="C33">
        <v>0</v>
      </c>
    </row>
    <row r="34" spans="1:3" x14ac:dyDescent="0.2">
      <c r="A34" t="s">
        <v>19</v>
      </c>
      <c r="B34" t="s">
        <v>70</v>
      </c>
      <c r="C34">
        <v>0</v>
      </c>
    </row>
    <row r="35" spans="1:3" x14ac:dyDescent="0.2">
      <c r="A35" t="s">
        <v>19</v>
      </c>
      <c r="B35" t="s">
        <v>71</v>
      </c>
      <c r="C35">
        <v>0</v>
      </c>
    </row>
    <row r="36" spans="1:3" x14ac:dyDescent="0.2">
      <c r="A36" t="s">
        <v>19</v>
      </c>
      <c r="B36" t="s">
        <v>72</v>
      </c>
      <c r="C36">
        <v>0</v>
      </c>
    </row>
    <row r="37" spans="1:3" x14ac:dyDescent="0.2">
      <c r="A37" t="s">
        <v>19</v>
      </c>
      <c r="B37" t="s">
        <v>73</v>
      </c>
      <c r="C37">
        <v>0</v>
      </c>
    </row>
    <row r="38" spans="1:3" x14ac:dyDescent="0.2">
      <c r="A38" t="s">
        <v>19</v>
      </c>
      <c r="B38" t="s">
        <v>74</v>
      </c>
      <c r="C38">
        <v>0</v>
      </c>
    </row>
    <row r="39" spans="1:3" x14ac:dyDescent="0.2">
      <c r="A39" t="s">
        <v>20</v>
      </c>
      <c r="B39" t="s">
        <v>38</v>
      </c>
      <c r="C39">
        <v>42500</v>
      </c>
    </row>
    <row r="40" spans="1:3" x14ac:dyDescent="0.2">
      <c r="A40" t="s">
        <v>20</v>
      </c>
      <c r="B40" t="s">
        <v>39</v>
      </c>
      <c r="C40">
        <v>0</v>
      </c>
    </row>
    <row r="41" spans="1:3" x14ac:dyDescent="0.2">
      <c r="A41" t="s">
        <v>20</v>
      </c>
      <c r="B41" t="s">
        <v>40</v>
      </c>
      <c r="C41">
        <v>0</v>
      </c>
    </row>
    <row r="42" spans="1:3" x14ac:dyDescent="0.2">
      <c r="A42" t="s">
        <v>20</v>
      </c>
      <c r="B42" t="s">
        <v>41</v>
      </c>
      <c r="C42">
        <v>0</v>
      </c>
    </row>
    <row r="43" spans="1:3" x14ac:dyDescent="0.2">
      <c r="A43" t="s">
        <v>20</v>
      </c>
      <c r="B43" t="s">
        <v>42</v>
      </c>
      <c r="C43">
        <v>0</v>
      </c>
    </row>
    <row r="44" spans="1:3" x14ac:dyDescent="0.2">
      <c r="A44" t="s">
        <v>20</v>
      </c>
      <c r="B44" t="s">
        <v>43</v>
      </c>
      <c r="C44">
        <v>0</v>
      </c>
    </row>
    <row r="45" spans="1:3" x14ac:dyDescent="0.2">
      <c r="A45" t="s">
        <v>20</v>
      </c>
      <c r="B45" t="s">
        <v>44</v>
      </c>
      <c r="C45">
        <v>0</v>
      </c>
    </row>
    <row r="46" spans="1:3" x14ac:dyDescent="0.2">
      <c r="A46" t="s">
        <v>20</v>
      </c>
      <c r="B46" t="s">
        <v>45</v>
      </c>
      <c r="C46">
        <v>0</v>
      </c>
    </row>
    <row r="47" spans="1:3" x14ac:dyDescent="0.2">
      <c r="A47" t="s">
        <v>20</v>
      </c>
      <c r="B47" t="s">
        <v>46</v>
      </c>
      <c r="C47">
        <v>0</v>
      </c>
    </row>
    <row r="48" spans="1:3" x14ac:dyDescent="0.2">
      <c r="A48" t="s">
        <v>20</v>
      </c>
      <c r="B48" t="s">
        <v>47</v>
      </c>
      <c r="C48">
        <v>0</v>
      </c>
    </row>
    <row r="49" spans="1:3" x14ac:dyDescent="0.2">
      <c r="A49" t="s">
        <v>20</v>
      </c>
      <c r="B49" t="s">
        <v>48</v>
      </c>
      <c r="C49">
        <v>0</v>
      </c>
    </row>
    <row r="50" spans="1:3" x14ac:dyDescent="0.2">
      <c r="A50" t="s">
        <v>20</v>
      </c>
      <c r="B50" t="s">
        <v>49</v>
      </c>
      <c r="C50">
        <v>0</v>
      </c>
    </row>
    <row r="51" spans="1:3" x14ac:dyDescent="0.2">
      <c r="A51" t="s">
        <v>20</v>
      </c>
      <c r="B51" t="s">
        <v>50</v>
      </c>
      <c r="C51">
        <v>0</v>
      </c>
    </row>
    <row r="52" spans="1:3" x14ac:dyDescent="0.2">
      <c r="A52" t="s">
        <v>20</v>
      </c>
      <c r="B52" t="s">
        <v>51</v>
      </c>
      <c r="C52">
        <v>0</v>
      </c>
    </row>
    <row r="53" spans="1:3" x14ac:dyDescent="0.2">
      <c r="A53" t="s">
        <v>20</v>
      </c>
      <c r="B53" t="s">
        <v>52</v>
      </c>
      <c r="C53">
        <v>0</v>
      </c>
    </row>
    <row r="54" spans="1:3" x14ac:dyDescent="0.2">
      <c r="A54" t="s">
        <v>20</v>
      </c>
      <c r="B54" t="s">
        <v>53</v>
      </c>
      <c r="C54">
        <v>0</v>
      </c>
    </row>
    <row r="55" spans="1:3" x14ac:dyDescent="0.2">
      <c r="A55" t="s">
        <v>20</v>
      </c>
      <c r="B55" t="s">
        <v>54</v>
      </c>
      <c r="C55">
        <v>0</v>
      </c>
    </row>
    <row r="56" spans="1:3" x14ac:dyDescent="0.2">
      <c r="A56" t="s">
        <v>20</v>
      </c>
      <c r="B56" t="s">
        <v>55</v>
      </c>
      <c r="C56">
        <v>0</v>
      </c>
    </row>
    <row r="57" spans="1:3" x14ac:dyDescent="0.2">
      <c r="A57" t="s">
        <v>20</v>
      </c>
      <c r="B57" t="s">
        <v>56</v>
      </c>
      <c r="C57">
        <v>0</v>
      </c>
    </row>
    <row r="58" spans="1:3" x14ac:dyDescent="0.2">
      <c r="A58" t="s">
        <v>20</v>
      </c>
      <c r="B58" t="s">
        <v>57</v>
      </c>
      <c r="C58">
        <v>0</v>
      </c>
    </row>
    <row r="59" spans="1:3" x14ac:dyDescent="0.2">
      <c r="A59" t="s">
        <v>20</v>
      </c>
      <c r="B59" t="s">
        <v>58</v>
      </c>
      <c r="C59">
        <v>0</v>
      </c>
    </row>
    <row r="60" spans="1:3" x14ac:dyDescent="0.2">
      <c r="A60" t="s">
        <v>20</v>
      </c>
      <c r="B60" t="s">
        <v>59</v>
      </c>
      <c r="C60">
        <v>0</v>
      </c>
    </row>
    <row r="61" spans="1:3" x14ac:dyDescent="0.2">
      <c r="A61" t="s">
        <v>20</v>
      </c>
      <c r="B61" t="s">
        <v>60</v>
      </c>
      <c r="C61">
        <v>0</v>
      </c>
    </row>
    <row r="62" spans="1:3" x14ac:dyDescent="0.2">
      <c r="A62" t="s">
        <v>20</v>
      </c>
      <c r="B62" t="s">
        <v>61</v>
      </c>
      <c r="C62">
        <v>0</v>
      </c>
    </row>
    <row r="63" spans="1:3" x14ac:dyDescent="0.2">
      <c r="A63" t="s">
        <v>20</v>
      </c>
      <c r="B63" t="s">
        <v>62</v>
      </c>
      <c r="C63">
        <v>0</v>
      </c>
    </row>
    <row r="64" spans="1:3" x14ac:dyDescent="0.2">
      <c r="A64" t="s">
        <v>20</v>
      </c>
      <c r="B64" t="s">
        <v>63</v>
      </c>
      <c r="C64">
        <v>0</v>
      </c>
    </row>
    <row r="65" spans="1:3" x14ac:dyDescent="0.2">
      <c r="A65" t="s">
        <v>20</v>
      </c>
      <c r="B65" t="s">
        <v>64</v>
      </c>
      <c r="C65">
        <v>0</v>
      </c>
    </row>
    <row r="66" spans="1:3" x14ac:dyDescent="0.2">
      <c r="A66" t="s">
        <v>20</v>
      </c>
      <c r="B66" t="s">
        <v>65</v>
      </c>
      <c r="C66">
        <v>0</v>
      </c>
    </row>
    <row r="67" spans="1:3" x14ac:dyDescent="0.2">
      <c r="A67" t="s">
        <v>20</v>
      </c>
      <c r="B67" t="s">
        <v>66</v>
      </c>
      <c r="C67">
        <v>0</v>
      </c>
    </row>
    <row r="68" spans="1:3" x14ac:dyDescent="0.2">
      <c r="A68" t="s">
        <v>20</v>
      </c>
      <c r="B68" t="s">
        <v>67</v>
      </c>
      <c r="C68">
        <v>0</v>
      </c>
    </row>
    <row r="69" spans="1:3" x14ac:dyDescent="0.2">
      <c r="A69" t="s">
        <v>20</v>
      </c>
      <c r="B69" t="s">
        <v>68</v>
      </c>
      <c r="C69">
        <v>0</v>
      </c>
    </row>
    <row r="70" spans="1:3" x14ac:dyDescent="0.2">
      <c r="A70" t="s">
        <v>20</v>
      </c>
      <c r="B70" t="s">
        <v>69</v>
      </c>
      <c r="C70">
        <v>0</v>
      </c>
    </row>
    <row r="71" spans="1:3" x14ac:dyDescent="0.2">
      <c r="A71" t="s">
        <v>20</v>
      </c>
      <c r="B71" t="s">
        <v>70</v>
      </c>
      <c r="C71">
        <v>0</v>
      </c>
    </row>
    <row r="72" spans="1:3" x14ac:dyDescent="0.2">
      <c r="A72" t="s">
        <v>20</v>
      </c>
      <c r="B72" t="s">
        <v>71</v>
      </c>
      <c r="C72">
        <v>0</v>
      </c>
    </row>
    <row r="73" spans="1:3" x14ac:dyDescent="0.2">
      <c r="A73" t="s">
        <v>20</v>
      </c>
      <c r="B73" t="s">
        <v>72</v>
      </c>
      <c r="C73">
        <v>0</v>
      </c>
    </row>
    <row r="74" spans="1:3" x14ac:dyDescent="0.2">
      <c r="A74" t="s">
        <v>20</v>
      </c>
      <c r="B74" t="s">
        <v>73</v>
      </c>
      <c r="C74">
        <v>0</v>
      </c>
    </row>
    <row r="75" spans="1:3" x14ac:dyDescent="0.2">
      <c r="A75" t="s">
        <v>20</v>
      </c>
      <c r="B75" t="s">
        <v>74</v>
      </c>
      <c r="C75">
        <v>0</v>
      </c>
    </row>
    <row r="76" spans="1:3" x14ac:dyDescent="0.2">
      <c r="A76" t="s">
        <v>21</v>
      </c>
      <c r="B76" t="s">
        <v>38</v>
      </c>
      <c r="C76">
        <v>0</v>
      </c>
    </row>
    <row r="77" spans="1:3" x14ac:dyDescent="0.2">
      <c r="A77" t="s">
        <v>21</v>
      </c>
      <c r="B77" t="s">
        <v>39</v>
      </c>
      <c r="C77">
        <v>6000</v>
      </c>
    </row>
    <row r="78" spans="1:3" x14ac:dyDescent="0.2">
      <c r="A78" t="s">
        <v>21</v>
      </c>
      <c r="B78" t="s">
        <v>40</v>
      </c>
      <c r="C78">
        <v>6000</v>
      </c>
    </row>
    <row r="79" spans="1:3" x14ac:dyDescent="0.2">
      <c r="A79" t="s">
        <v>21</v>
      </c>
      <c r="B79" t="s">
        <v>41</v>
      </c>
      <c r="C79">
        <v>6000</v>
      </c>
    </row>
    <row r="80" spans="1:3" x14ac:dyDescent="0.2">
      <c r="A80" t="s">
        <v>21</v>
      </c>
      <c r="B80" t="s">
        <v>42</v>
      </c>
      <c r="C80">
        <v>6000</v>
      </c>
    </row>
    <row r="81" spans="1:3" x14ac:dyDescent="0.2">
      <c r="A81" t="s">
        <v>21</v>
      </c>
      <c r="B81" t="s">
        <v>43</v>
      </c>
      <c r="C81">
        <v>6000</v>
      </c>
    </row>
    <row r="82" spans="1:3" x14ac:dyDescent="0.2">
      <c r="A82" t="s">
        <v>21</v>
      </c>
      <c r="B82" t="s">
        <v>44</v>
      </c>
      <c r="C82">
        <v>6000</v>
      </c>
    </row>
    <row r="83" spans="1:3" x14ac:dyDescent="0.2">
      <c r="A83" t="s">
        <v>21</v>
      </c>
      <c r="B83" t="s">
        <v>45</v>
      </c>
      <c r="C83">
        <v>6000</v>
      </c>
    </row>
    <row r="84" spans="1:3" x14ac:dyDescent="0.2">
      <c r="A84" t="s">
        <v>21</v>
      </c>
      <c r="B84" t="s">
        <v>46</v>
      </c>
      <c r="C84">
        <v>6000</v>
      </c>
    </row>
    <row r="85" spans="1:3" x14ac:dyDescent="0.2">
      <c r="A85" t="s">
        <v>21</v>
      </c>
      <c r="B85" t="s">
        <v>47</v>
      </c>
      <c r="C85">
        <v>6000</v>
      </c>
    </row>
    <row r="86" spans="1:3" x14ac:dyDescent="0.2">
      <c r="A86" t="s">
        <v>21</v>
      </c>
      <c r="B86" t="s">
        <v>48</v>
      </c>
      <c r="C86">
        <v>6000</v>
      </c>
    </row>
    <row r="87" spans="1:3" x14ac:dyDescent="0.2">
      <c r="A87" t="s">
        <v>21</v>
      </c>
      <c r="B87" t="s">
        <v>49</v>
      </c>
      <c r="C87">
        <v>6000</v>
      </c>
    </row>
    <row r="88" spans="1:3" x14ac:dyDescent="0.2">
      <c r="A88" t="s">
        <v>21</v>
      </c>
      <c r="B88" t="s">
        <v>50</v>
      </c>
      <c r="C88">
        <v>6000</v>
      </c>
    </row>
    <row r="89" spans="1:3" x14ac:dyDescent="0.2">
      <c r="A89" t="s">
        <v>21</v>
      </c>
      <c r="B89" t="s">
        <v>51</v>
      </c>
      <c r="C89">
        <v>6000</v>
      </c>
    </row>
    <row r="90" spans="1:3" x14ac:dyDescent="0.2">
      <c r="A90" t="s">
        <v>21</v>
      </c>
      <c r="B90" t="s">
        <v>52</v>
      </c>
      <c r="C90">
        <v>6000</v>
      </c>
    </row>
    <row r="91" spans="1:3" x14ac:dyDescent="0.2">
      <c r="A91" t="s">
        <v>21</v>
      </c>
      <c r="B91" t="s">
        <v>53</v>
      </c>
      <c r="C91">
        <v>6000</v>
      </c>
    </row>
    <row r="92" spans="1:3" x14ac:dyDescent="0.2">
      <c r="A92" t="s">
        <v>21</v>
      </c>
      <c r="B92" t="s">
        <v>54</v>
      </c>
      <c r="C92">
        <v>6000</v>
      </c>
    </row>
    <row r="93" spans="1:3" x14ac:dyDescent="0.2">
      <c r="A93" t="s">
        <v>21</v>
      </c>
      <c r="B93" t="s">
        <v>55</v>
      </c>
      <c r="C93">
        <v>6000</v>
      </c>
    </row>
    <row r="94" spans="1:3" x14ac:dyDescent="0.2">
      <c r="A94" t="s">
        <v>21</v>
      </c>
      <c r="B94" t="s">
        <v>56</v>
      </c>
      <c r="C94">
        <v>6000</v>
      </c>
    </row>
    <row r="95" spans="1:3" x14ac:dyDescent="0.2">
      <c r="A95" t="s">
        <v>21</v>
      </c>
      <c r="B95" t="s">
        <v>57</v>
      </c>
      <c r="C95">
        <v>6000</v>
      </c>
    </row>
    <row r="96" spans="1:3" x14ac:dyDescent="0.2">
      <c r="A96" t="s">
        <v>21</v>
      </c>
      <c r="B96" t="s">
        <v>58</v>
      </c>
      <c r="C96">
        <v>6000</v>
      </c>
    </row>
    <row r="97" spans="1:3" x14ac:dyDescent="0.2">
      <c r="A97" t="s">
        <v>21</v>
      </c>
      <c r="B97" t="s">
        <v>59</v>
      </c>
      <c r="C97">
        <v>6000</v>
      </c>
    </row>
    <row r="98" spans="1:3" x14ac:dyDescent="0.2">
      <c r="A98" t="s">
        <v>21</v>
      </c>
      <c r="B98" t="s">
        <v>60</v>
      </c>
      <c r="C98">
        <v>6000</v>
      </c>
    </row>
    <row r="99" spans="1:3" x14ac:dyDescent="0.2">
      <c r="A99" t="s">
        <v>21</v>
      </c>
      <c r="B99" t="s">
        <v>61</v>
      </c>
      <c r="C99">
        <v>6000</v>
      </c>
    </row>
    <row r="100" spans="1:3" x14ac:dyDescent="0.2">
      <c r="A100" t="s">
        <v>21</v>
      </c>
      <c r="B100" t="s">
        <v>62</v>
      </c>
      <c r="C100">
        <v>6000</v>
      </c>
    </row>
    <row r="101" spans="1:3" x14ac:dyDescent="0.2">
      <c r="A101" t="s">
        <v>21</v>
      </c>
      <c r="B101" t="s">
        <v>63</v>
      </c>
      <c r="C101">
        <v>6000</v>
      </c>
    </row>
    <row r="102" spans="1:3" x14ac:dyDescent="0.2">
      <c r="A102" t="s">
        <v>21</v>
      </c>
      <c r="B102" t="s">
        <v>64</v>
      </c>
      <c r="C102">
        <v>6000</v>
      </c>
    </row>
    <row r="103" spans="1:3" x14ac:dyDescent="0.2">
      <c r="A103" t="s">
        <v>21</v>
      </c>
      <c r="B103" t="s">
        <v>65</v>
      </c>
      <c r="C103">
        <v>6000</v>
      </c>
    </row>
    <row r="104" spans="1:3" x14ac:dyDescent="0.2">
      <c r="A104" t="s">
        <v>21</v>
      </c>
      <c r="B104" t="s">
        <v>66</v>
      </c>
      <c r="C104">
        <v>6000</v>
      </c>
    </row>
    <row r="105" spans="1:3" x14ac:dyDescent="0.2">
      <c r="A105" t="s">
        <v>21</v>
      </c>
      <c r="B105" t="s">
        <v>67</v>
      </c>
      <c r="C105">
        <v>6000</v>
      </c>
    </row>
    <row r="106" spans="1:3" x14ac:dyDescent="0.2">
      <c r="A106" t="s">
        <v>21</v>
      </c>
      <c r="B106" t="s">
        <v>68</v>
      </c>
      <c r="C106">
        <v>6000</v>
      </c>
    </row>
    <row r="107" spans="1:3" x14ac:dyDescent="0.2">
      <c r="A107" t="s">
        <v>21</v>
      </c>
      <c r="B107" t="s">
        <v>69</v>
      </c>
      <c r="C107">
        <v>6000</v>
      </c>
    </row>
    <row r="108" spans="1:3" x14ac:dyDescent="0.2">
      <c r="A108" t="s">
        <v>21</v>
      </c>
      <c r="B108" t="s">
        <v>70</v>
      </c>
      <c r="C108">
        <v>6000</v>
      </c>
    </row>
    <row r="109" spans="1:3" x14ac:dyDescent="0.2">
      <c r="A109" t="s">
        <v>21</v>
      </c>
      <c r="B109" t="s">
        <v>71</v>
      </c>
      <c r="C109">
        <v>6000</v>
      </c>
    </row>
    <row r="110" spans="1:3" x14ac:dyDescent="0.2">
      <c r="A110" t="s">
        <v>21</v>
      </c>
      <c r="B110" t="s">
        <v>72</v>
      </c>
      <c r="C110">
        <v>6000</v>
      </c>
    </row>
    <row r="111" spans="1:3" x14ac:dyDescent="0.2">
      <c r="A111" t="s">
        <v>21</v>
      </c>
      <c r="B111" t="s">
        <v>73</v>
      </c>
      <c r="C111">
        <v>6000</v>
      </c>
    </row>
    <row r="112" spans="1:3" x14ac:dyDescent="0.2">
      <c r="A112" t="s">
        <v>21</v>
      </c>
      <c r="B112" t="s">
        <v>74</v>
      </c>
      <c r="C112">
        <v>6000</v>
      </c>
    </row>
    <row r="113" spans="1:3" x14ac:dyDescent="0.2">
      <c r="A113" t="s">
        <v>22</v>
      </c>
      <c r="B113" t="s">
        <v>38</v>
      </c>
      <c r="C113">
        <v>92500</v>
      </c>
    </row>
    <row r="114" spans="1:3" x14ac:dyDescent="0.2">
      <c r="A114" t="s">
        <v>22</v>
      </c>
      <c r="B114" t="s">
        <v>39</v>
      </c>
      <c r="C114">
        <v>6000</v>
      </c>
    </row>
    <row r="115" spans="1:3" x14ac:dyDescent="0.2">
      <c r="A115" t="s">
        <v>22</v>
      </c>
      <c r="B115" t="s">
        <v>40</v>
      </c>
      <c r="C115">
        <v>6000</v>
      </c>
    </row>
    <row r="116" spans="1:3" x14ac:dyDescent="0.2">
      <c r="A116" t="s">
        <v>22</v>
      </c>
      <c r="B116" t="s">
        <v>41</v>
      </c>
      <c r="C116">
        <v>6000</v>
      </c>
    </row>
    <row r="117" spans="1:3" x14ac:dyDescent="0.2">
      <c r="A117" t="s">
        <v>22</v>
      </c>
      <c r="B117" t="s">
        <v>42</v>
      </c>
      <c r="C117">
        <v>6000</v>
      </c>
    </row>
    <row r="118" spans="1:3" x14ac:dyDescent="0.2">
      <c r="A118" t="s">
        <v>22</v>
      </c>
      <c r="B118" t="s">
        <v>43</v>
      </c>
      <c r="C118">
        <v>6000</v>
      </c>
    </row>
    <row r="119" spans="1:3" x14ac:dyDescent="0.2">
      <c r="A119" t="s">
        <v>22</v>
      </c>
      <c r="B119" t="s">
        <v>44</v>
      </c>
      <c r="C119">
        <v>6000</v>
      </c>
    </row>
    <row r="120" spans="1:3" x14ac:dyDescent="0.2">
      <c r="A120" t="s">
        <v>22</v>
      </c>
      <c r="B120" t="s">
        <v>45</v>
      </c>
      <c r="C120">
        <v>6000</v>
      </c>
    </row>
    <row r="121" spans="1:3" x14ac:dyDescent="0.2">
      <c r="A121" t="s">
        <v>22</v>
      </c>
      <c r="B121" t="s">
        <v>46</v>
      </c>
      <c r="C121">
        <v>6000</v>
      </c>
    </row>
    <row r="122" spans="1:3" x14ac:dyDescent="0.2">
      <c r="A122" t="s">
        <v>22</v>
      </c>
      <c r="B122" t="s">
        <v>47</v>
      </c>
      <c r="C122">
        <v>6000</v>
      </c>
    </row>
    <row r="123" spans="1:3" x14ac:dyDescent="0.2">
      <c r="A123" t="s">
        <v>22</v>
      </c>
      <c r="B123" t="s">
        <v>48</v>
      </c>
      <c r="C123">
        <v>6000</v>
      </c>
    </row>
    <row r="124" spans="1:3" x14ac:dyDescent="0.2">
      <c r="A124" t="s">
        <v>22</v>
      </c>
      <c r="B124" t="s">
        <v>49</v>
      </c>
      <c r="C124">
        <v>6000</v>
      </c>
    </row>
    <row r="125" spans="1:3" x14ac:dyDescent="0.2">
      <c r="A125" t="s">
        <v>22</v>
      </c>
      <c r="B125" t="s">
        <v>50</v>
      </c>
      <c r="C125">
        <v>6000</v>
      </c>
    </row>
    <row r="126" spans="1:3" x14ac:dyDescent="0.2">
      <c r="A126" t="s">
        <v>22</v>
      </c>
      <c r="B126" t="s">
        <v>51</v>
      </c>
      <c r="C126">
        <v>6000</v>
      </c>
    </row>
    <row r="127" spans="1:3" x14ac:dyDescent="0.2">
      <c r="A127" t="s">
        <v>22</v>
      </c>
      <c r="B127" t="s">
        <v>52</v>
      </c>
      <c r="C127">
        <v>6000</v>
      </c>
    </row>
    <row r="128" spans="1:3" x14ac:dyDescent="0.2">
      <c r="A128" t="s">
        <v>22</v>
      </c>
      <c r="B128" t="s">
        <v>53</v>
      </c>
      <c r="C128">
        <v>6000</v>
      </c>
    </row>
    <row r="129" spans="1:3" x14ac:dyDescent="0.2">
      <c r="A129" t="s">
        <v>22</v>
      </c>
      <c r="B129" t="s">
        <v>54</v>
      </c>
      <c r="C129">
        <v>6000</v>
      </c>
    </row>
    <row r="130" spans="1:3" x14ac:dyDescent="0.2">
      <c r="A130" t="s">
        <v>22</v>
      </c>
      <c r="B130" t="s">
        <v>55</v>
      </c>
      <c r="C130">
        <v>6000</v>
      </c>
    </row>
    <row r="131" spans="1:3" x14ac:dyDescent="0.2">
      <c r="A131" t="s">
        <v>22</v>
      </c>
      <c r="B131" t="s">
        <v>56</v>
      </c>
      <c r="C131">
        <v>6000</v>
      </c>
    </row>
    <row r="132" spans="1:3" x14ac:dyDescent="0.2">
      <c r="A132" t="s">
        <v>22</v>
      </c>
      <c r="B132" t="s">
        <v>57</v>
      </c>
      <c r="C132">
        <v>6000</v>
      </c>
    </row>
    <row r="133" spans="1:3" x14ac:dyDescent="0.2">
      <c r="A133" t="s">
        <v>22</v>
      </c>
      <c r="B133" t="s">
        <v>58</v>
      </c>
      <c r="C133">
        <v>6000</v>
      </c>
    </row>
    <row r="134" spans="1:3" x14ac:dyDescent="0.2">
      <c r="A134" t="s">
        <v>22</v>
      </c>
      <c r="B134" t="s">
        <v>59</v>
      </c>
      <c r="C134">
        <v>6000</v>
      </c>
    </row>
    <row r="135" spans="1:3" x14ac:dyDescent="0.2">
      <c r="A135" t="s">
        <v>22</v>
      </c>
      <c r="B135" t="s">
        <v>60</v>
      </c>
      <c r="C135">
        <v>6000</v>
      </c>
    </row>
    <row r="136" spans="1:3" x14ac:dyDescent="0.2">
      <c r="A136" t="s">
        <v>22</v>
      </c>
      <c r="B136" t="s">
        <v>61</v>
      </c>
      <c r="C136">
        <v>6000</v>
      </c>
    </row>
    <row r="137" spans="1:3" x14ac:dyDescent="0.2">
      <c r="A137" t="s">
        <v>22</v>
      </c>
      <c r="B137" t="s">
        <v>62</v>
      </c>
      <c r="C137">
        <v>6000</v>
      </c>
    </row>
    <row r="138" spans="1:3" x14ac:dyDescent="0.2">
      <c r="A138" t="s">
        <v>22</v>
      </c>
      <c r="B138" t="s">
        <v>63</v>
      </c>
      <c r="C138">
        <v>6000</v>
      </c>
    </row>
    <row r="139" spans="1:3" x14ac:dyDescent="0.2">
      <c r="A139" t="s">
        <v>22</v>
      </c>
      <c r="B139" t="s">
        <v>64</v>
      </c>
      <c r="C139">
        <v>6000</v>
      </c>
    </row>
    <row r="140" spans="1:3" x14ac:dyDescent="0.2">
      <c r="A140" t="s">
        <v>22</v>
      </c>
      <c r="B140" t="s">
        <v>65</v>
      </c>
      <c r="C140">
        <v>6000</v>
      </c>
    </row>
    <row r="141" spans="1:3" x14ac:dyDescent="0.2">
      <c r="A141" t="s">
        <v>22</v>
      </c>
      <c r="B141" t="s">
        <v>66</v>
      </c>
      <c r="C141">
        <v>6000</v>
      </c>
    </row>
    <row r="142" spans="1:3" x14ac:dyDescent="0.2">
      <c r="A142" t="s">
        <v>22</v>
      </c>
      <c r="B142" t="s">
        <v>67</v>
      </c>
      <c r="C142">
        <v>6000</v>
      </c>
    </row>
    <row r="143" spans="1:3" x14ac:dyDescent="0.2">
      <c r="A143" t="s">
        <v>22</v>
      </c>
      <c r="B143" t="s">
        <v>68</v>
      </c>
      <c r="C143">
        <v>6000</v>
      </c>
    </row>
    <row r="144" spans="1:3" x14ac:dyDescent="0.2">
      <c r="A144" t="s">
        <v>22</v>
      </c>
      <c r="B144" t="s">
        <v>69</v>
      </c>
      <c r="C144">
        <v>6000</v>
      </c>
    </row>
    <row r="145" spans="1:3" x14ac:dyDescent="0.2">
      <c r="A145" t="s">
        <v>22</v>
      </c>
      <c r="B145" t="s">
        <v>70</v>
      </c>
      <c r="C145">
        <v>6000</v>
      </c>
    </row>
    <row r="146" spans="1:3" x14ac:dyDescent="0.2">
      <c r="A146" t="s">
        <v>22</v>
      </c>
      <c r="B146" t="s">
        <v>71</v>
      </c>
      <c r="C146">
        <v>6000</v>
      </c>
    </row>
    <row r="147" spans="1:3" x14ac:dyDescent="0.2">
      <c r="A147" t="s">
        <v>22</v>
      </c>
      <c r="B147" t="s">
        <v>72</v>
      </c>
      <c r="C147">
        <v>6000</v>
      </c>
    </row>
    <row r="148" spans="1:3" x14ac:dyDescent="0.2">
      <c r="A148" t="s">
        <v>22</v>
      </c>
      <c r="B148" t="s">
        <v>73</v>
      </c>
      <c r="C148">
        <v>6000</v>
      </c>
    </row>
    <row r="149" spans="1:3" x14ac:dyDescent="0.2">
      <c r="A149" t="s">
        <v>22</v>
      </c>
      <c r="B149" t="s">
        <v>74</v>
      </c>
      <c r="C149">
        <v>6000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1964-27A3-404A-B5C0-9549CF57439C}">
  <dimension ref="A1:AL6"/>
  <sheetViews>
    <sheetView topLeftCell="U1" zoomScale="125" workbookViewId="0">
      <selection sqref="A1:AL6"/>
    </sheetView>
  </sheetViews>
  <sheetFormatPr baseColWidth="10" defaultRowHeight="16" x14ac:dyDescent="0.2"/>
  <cols>
    <col min="1" max="1" width="21" bestFit="1" customWidth="1"/>
  </cols>
  <sheetData>
    <row r="1" spans="1:38" x14ac:dyDescent="0.2">
      <c r="A1" t="s">
        <v>18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8" x14ac:dyDescent="0.2">
      <c r="A2" t="s">
        <v>19</v>
      </c>
      <c r="B2">
        <f>Assumptions!C2</f>
        <v>50000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 t="s">
        <v>20</v>
      </c>
      <c r="B3">
        <f>(Assumptions!C3*Assumptions!C5)*(Assumptions!C6/2000)</f>
        <v>42500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 t="s">
        <v>21</v>
      </c>
      <c r="B4">
        <v>0</v>
      </c>
      <c r="C4">
        <f>Assumptions!$C$4 * Assumptions!$C$5</f>
        <v>6000</v>
      </c>
      <c r="D4">
        <f>Assumptions!$C$4 * Assumptions!$C$5</f>
        <v>6000</v>
      </c>
      <c r="E4">
        <f>Assumptions!$C$4 * Assumptions!$C$5</f>
        <v>6000</v>
      </c>
      <c r="F4">
        <f>Assumptions!$C$4 * Assumptions!$C$5</f>
        <v>6000</v>
      </c>
      <c r="G4">
        <f>Assumptions!$C$4 * Assumptions!$C$5</f>
        <v>6000</v>
      </c>
      <c r="H4">
        <f>Assumptions!$C$4 * Assumptions!$C$5</f>
        <v>6000</v>
      </c>
      <c r="I4">
        <f>Assumptions!$C$4 * Assumptions!$C$5</f>
        <v>6000</v>
      </c>
      <c r="J4">
        <f>Assumptions!$C$4 * Assumptions!$C$5</f>
        <v>6000</v>
      </c>
      <c r="K4">
        <f>Assumptions!$C$4 * Assumptions!$C$5</f>
        <v>6000</v>
      </c>
      <c r="L4">
        <f>Assumptions!$C$4 * Assumptions!$C$5</f>
        <v>6000</v>
      </c>
      <c r="M4">
        <f>Assumptions!$C$4 * Assumptions!$C$5</f>
        <v>6000</v>
      </c>
      <c r="N4">
        <f>Assumptions!$C$4 * Assumptions!$C$5</f>
        <v>6000</v>
      </c>
      <c r="O4">
        <f>Assumptions!$C$4 * Assumptions!$C$5</f>
        <v>6000</v>
      </c>
      <c r="P4">
        <f>Assumptions!$C$4 * Assumptions!$C$5</f>
        <v>6000</v>
      </c>
      <c r="Q4">
        <f>Assumptions!$C$4 * Assumptions!$C$5</f>
        <v>6000</v>
      </c>
      <c r="R4">
        <f>Assumptions!$C$4 * Assumptions!$C$5</f>
        <v>6000</v>
      </c>
      <c r="S4">
        <f>Assumptions!$C$4 * Assumptions!$C$5</f>
        <v>6000</v>
      </c>
      <c r="T4">
        <f>Assumptions!$C$4 * Assumptions!$C$5</f>
        <v>6000</v>
      </c>
      <c r="U4">
        <f>Assumptions!$C$4 * Assumptions!$C$5</f>
        <v>6000</v>
      </c>
      <c r="V4">
        <f>Assumptions!$C$4 * Assumptions!$C$5</f>
        <v>6000</v>
      </c>
      <c r="W4">
        <f>Assumptions!$C$4 * Assumptions!$C$5</f>
        <v>6000</v>
      </c>
      <c r="X4">
        <f>Assumptions!$C$4 * Assumptions!$C$5</f>
        <v>6000</v>
      </c>
      <c r="Y4">
        <f>Assumptions!$C$4 * Assumptions!$C$5</f>
        <v>6000</v>
      </c>
      <c r="Z4">
        <f>Assumptions!$C$4 * Assumptions!$C$5</f>
        <v>6000</v>
      </c>
      <c r="AA4">
        <f>Assumptions!$C$4 * Assumptions!$C$5</f>
        <v>6000</v>
      </c>
      <c r="AB4">
        <f>Assumptions!$C$4 * Assumptions!$C$5</f>
        <v>6000</v>
      </c>
      <c r="AC4">
        <f>Assumptions!$C$4 * Assumptions!$C$5</f>
        <v>6000</v>
      </c>
      <c r="AD4">
        <f>Assumptions!$C$4 * Assumptions!$C$5</f>
        <v>6000</v>
      </c>
      <c r="AE4">
        <f>Assumptions!$C$4 * Assumptions!$C$5</f>
        <v>6000</v>
      </c>
      <c r="AF4">
        <f>Assumptions!$C$4 * Assumptions!$C$5</f>
        <v>6000</v>
      </c>
      <c r="AG4">
        <f>Assumptions!$C$4 * Assumptions!$C$5</f>
        <v>6000</v>
      </c>
      <c r="AH4">
        <f>Assumptions!$C$4 * Assumptions!$C$5</f>
        <v>6000</v>
      </c>
      <c r="AI4">
        <f>Assumptions!$C$4 * Assumptions!$C$5</f>
        <v>6000</v>
      </c>
      <c r="AJ4">
        <f>Assumptions!$C$4 * Assumptions!$C$5</f>
        <v>6000</v>
      </c>
      <c r="AK4">
        <f>Assumptions!$C$4 * Assumptions!$C$5</f>
        <v>6000</v>
      </c>
      <c r="AL4">
        <f>Assumptions!$C$4 * Assumptions!$C$5</f>
        <v>6000</v>
      </c>
    </row>
    <row r="6" spans="1:38" x14ac:dyDescent="0.2">
      <c r="A6" t="s">
        <v>22</v>
      </c>
      <c r="B6">
        <f>SUM(B2:B4)</f>
        <v>92500</v>
      </c>
      <c r="C6">
        <f t="shared" ref="C6:AL6" si="0">SUM(C2:C4)</f>
        <v>6000</v>
      </c>
      <c r="D6">
        <f t="shared" si="0"/>
        <v>6000</v>
      </c>
      <c r="E6">
        <f t="shared" si="0"/>
        <v>6000</v>
      </c>
      <c r="F6">
        <f t="shared" si="0"/>
        <v>6000</v>
      </c>
      <c r="G6">
        <f t="shared" si="0"/>
        <v>6000</v>
      </c>
      <c r="H6">
        <f t="shared" si="0"/>
        <v>6000</v>
      </c>
      <c r="I6">
        <f t="shared" si="0"/>
        <v>6000</v>
      </c>
      <c r="J6">
        <f t="shared" si="0"/>
        <v>6000</v>
      </c>
      <c r="K6">
        <f t="shared" si="0"/>
        <v>6000</v>
      </c>
      <c r="L6">
        <f t="shared" si="0"/>
        <v>6000</v>
      </c>
      <c r="M6">
        <f t="shared" si="0"/>
        <v>6000</v>
      </c>
      <c r="N6">
        <f t="shared" si="0"/>
        <v>6000</v>
      </c>
      <c r="O6">
        <f t="shared" si="0"/>
        <v>6000</v>
      </c>
      <c r="P6">
        <f t="shared" si="0"/>
        <v>6000</v>
      </c>
      <c r="Q6">
        <f t="shared" si="0"/>
        <v>6000</v>
      </c>
      <c r="R6">
        <f t="shared" si="0"/>
        <v>6000</v>
      </c>
      <c r="S6">
        <f t="shared" si="0"/>
        <v>6000</v>
      </c>
      <c r="T6">
        <f t="shared" si="0"/>
        <v>6000</v>
      </c>
      <c r="U6">
        <f t="shared" si="0"/>
        <v>6000</v>
      </c>
      <c r="V6">
        <f t="shared" si="0"/>
        <v>6000</v>
      </c>
      <c r="W6">
        <f t="shared" si="0"/>
        <v>6000</v>
      </c>
      <c r="X6">
        <f t="shared" si="0"/>
        <v>6000</v>
      </c>
      <c r="Y6">
        <f t="shared" si="0"/>
        <v>6000</v>
      </c>
      <c r="Z6">
        <f t="shared" si="0"/>
        <v>6000</v>
      </c>
      <c r="AA6">
        <f t="shared" si="0"/>
        <v>6000</v>
      </c>
      <c r="AB6">
        <f t="shared" si="0"/>
        <v>6000</v>
      </c>
      <c r="AC6">
        <f t="shared" si="0"/>
        <v>6000</v>
      </c>
      <c r="AD6">
        <f t="shared" si="0"/>
        <v>6000</v>
      </c>
      <c r="AE6">
        <f t="shared" si="0"/>
        <v>6000</v>
      </c>
      <c r="AF6">
        <f t="shared" si="0"/>
        <v>6000</v>
      </c>
      <c r="AG6">
        <f t="shared" si="0"/>
        <v>6000</v>
      </c>
      <c r="AH6">
        <f t="shared" si="0"/>
        <v>6000</v>
      </c>
      <c r="AI6">
        <f t="shared" si="0"/>
        <v>6000</v>
      </c>
      <c r="AJ6">
        <f t="shared" si="0"/>
        <v>6000</v>
      </c>
      <c r="AK6">
        <f t="shared" si="0"/>
        <v>6000</v>
      </c>
      <c r="AL6">
        <f t="shared" si="0"/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D2F-696F-EE42-8F07-5B15E77D7DF6}">
  <dimension ref="A1:C186"/>
  <sheetViews>
    <sheetView workbookViewId="0">
      <selection activeCell="A2" sqref="A2:C186"/>
    </sheetView>
  </sheetViews>
  <sheetFormatPr baseColWidth="10" defaultRowHeight="16" x14ac:dyDescent="0.2"/>
  <cols>
    <col min="1" max="1" width="25" bestFit="1" customWidth="1"/>
    <col min="2" max="2" width="8.83203125" bestFit="1" customWidth="1"/>
    <col min="3" max="3" width="12.1640625" bestFit="1" customWidth="1"/>
  </cols>
  <sheetData>
    <row r="1" spans="1:3" x14ac:dyDescent="0.2">
      <c r="A1" t="s">
        <v>36</v>
      </c>
      <c r="B1" t="s">
        <v>18</v>
      </c>
      <c r="C1" t="s">
        <v>37</v>
      </c>
    </row>
    <row r="2" spans="1:3" x14ac:dyDescent="0.2">
      <c r="A2" t="s">
        <v>23</v>
      </c>
      <c r="B2" t="s">
        <v>38</v>
      </c>
      <c r="C2">
        <v>0</v>
      </c>
    </row>
    <row r="3" spans="1:3" x14ac:dyDescent="0.2">
      <c r="A3" t="s">
        <v>23</v>
      </c>
      <c r="B3" t="s">
        <v>39</v>
      </c>
      <c r="C3">
        <v>0.1</v>
      </c>
    </row>
    <row r="4" spans="1:3" x14ac:dyDescent="0.2">
      <c r="A4" t="s">
        <v>23</v>
      </c>
      <c r="B4" t="s">
        <v>40</v>
      </c>
      <c r="C4">
        <v>0.25</v>
      </c>
    </row>
    <row r="5" spans="1:3" x14ac:dyDescent="0.2">
      <c r="A5" t="s">
        <v>23</v>
      </c>
      <c r="B5" t="s">
        <v>41</v>
      </c>
      <c r="C5">
        <v>0.5</v>
      </c>
    </row>
    <row r="6" spans="1:3" x14ac:dyDescent="0.2">
      <c r="A6" t="s">
        <v>23</v>
      </c>
      <c r="B6" t="s">
        <v>42</v>
      </c>
      <c r="C6">
        <v>0.75</v>
      </c>
    </row>
    <row r="7" spans="1:3" x14ac:dyDescent="0.2">
      <c r="A7" t="s">
        <v>23</v>
      </c>
      <c r="B7" t="s">
        <v>43</v>
      </c>
      <c r="C7">
        <v>0.9</v>
      </c>
    </row>
    <row r="8" spans="1:3" x14ac:dyDescent="0.2">
      <c r="A8" t="s">
        <v>23</v>
      </c>
      <c r="B8" t="s">
        <v>44</v>
      </c>
      <c r="C8">
        <v>1</v>
      </c>
    </row>
    <row r="9" spans="1:3" x14ac:dyDescent="0.2">
      <c r="A9" t="s">
        <v>23</v>
      </c>
      <c r="B9" t="s">
        <v>45</v>
      </c>
      <c r="C9">
        <v>1</v>
      </c>
    </row>
    <row r="10" spans="1:3" x14ac:dyDescent="0.2">
      <c r="A10" t="s">
        <v>23</v>
      </c>
      <c r="B10" t="s">
        <v>46</v>
      </c>
      <c r="C10">
        <v>1</v>
      </c>
    </row>
    <row r="11" spans="1:3" x14ac:dyDescent="0.2">
      <c r="A11" t="s">
        <v>23</v>
      </c>
      <c r="B11" t="s">
        <v>47</v>
      </c>
      <c r="C11">
        <v>1</v>
      </c>
    </row>
    <row r="12" spans="1:3" x14ac:dyDescent="0.2">
      <c r="A12" t="s">
        <v>23</v>
      </c>
      <c r="B12" t="s">
        <v>48</v>
      </c>
      <c r="C12">
        <v>1</v>
      </c>
    </row>
    <row r="13" spans="1:3" x14ac:dyDescent="0.2">
      <c r="A13" t="s">
        <v>23</v>
      </c>
      <c r="B13" t="s">
        <v>49</v>
      </c>
      <c r="C13">
        <v>1</v>
      </c>
    </row>
    <row r="14" spans="1:3" x14ac:dyDescent="0.2">
      <c r="A14" t="s">
        <v>23</v>
      </c>
      <c r="B14" t="s">
        <v>50</v>
      </c>
      <c r="C14">
        <v>1</v>
      </c>
    </row>
    <row r="15" spans="1:3" x14ac:dyDescent="0.2">
      <c r="A15" t="s">
        <v>23</v>
      </c>
      <c r="B15" t="s">
        <v>51</v>
      </c>
      <c r="C15">
        <v>1</v>
      </c>
    </row>
    <row r="16" spans="1:3" x14ac:dyDescent="0.2">
      <c r="A16" t="s">
        <v>23</v>
      </c>
      <c r="B16" t="s">
        <v>52</v>
      </c>
      <c r="C16">
        <v>1</v>
      </c>
    </row>
    <row r="17" spans="1:3" x14ac:dyDescent="0.2">
      <c r="A17" t="s">
        <v>23</v>
      </c>
      <c r="B17" t="s">
        <v>53</v>
      </c>
      <c r="C17">
        <v>1</v>
      </c>
    </row>
    <row r="18" spans="1:3" x14ac:dyDescent="0.2">
      <c r="A18" t="s">
        <v>23</v>
      </c>
      <c r="B18" t="s">
        <v>54</v>
      </c>
      <c r="C18">
        <v>1</v>
      </c>
    </row>
    <row r="19" spans="1:3" x14ac:dyDescent="0.2">
      <c r="A19" t="s">
        <v>23</v>
      </c>
      <c r="B19" t="s">
        <v>55</v>
      </c>
      <c r="C19">
        <v>1</v>
      </c>
    </row>
    <row r="20" spans="1:3" x14ac:dyDescent="0.2">
      <c r="A20" t="s">
        <v>23</v>
      </c>
      <c r="B20" t="s">
        <v>56</v>
      </c>
      <c r="C20">
        <v>1</v>
      </c>
    </row>
    <row r="21" spans="1:3" x14ac:dyDescent="0.2">
      <c r="A21" t="s">
        <v>23</v>
      </c>
      <c r="B21" t="s">
        <v>57</v>
      </c>
      <c r="C21">
        <v>1</v>
      </c>
    </row>
    <row r="22" spans="1:3" x14ac:dyDescent="0.2">
      <c r="A22" t="s">
        <v>23</v>
      </c>
      <c r="B22" t="s">
        <v>58</v>
      </c>
      <c r="C22">
        <v>1</v>
      </c>
    </row>
    <row r="23" spans="1:3" x14ac:dyDescent="0.2">
      <c r="A23" t="s">
        <v>23</v>
      </c>
      <c r="B23" t="s">
        <v>59</v>
      </c>
      <c r="C23">
        <v>1</v>
      </c>
    </row>
    <row r="24" spans="1:3" x14ac:dyDescent="0.2">
      <c r="A24" t="s">
        <v>23</v>
      </c>
      <c r="B24" t="s">
        <v>60</v>
      </c>
      <c r="C24">
        <v>1</v>
      </c>
    </row>
    <row r="25" spans="1:3" x14ac:dyDescent="0.2">
      <c r="A25" t="s">
        <v>23</v>
      </c>
      <c r="B25" t="s">
        <v>61</v>
      </c>
      <c r="C25">
        <v>1</v>
      </c>
    </row>
    <row r="26" spans="1:3" x14ac:dyDescent="0.2">
      <c r="A26" t="s">
        <v>23</v>
      </c>
      <c r="B26" t="s">
        <v>62</v>
      </c>
      <c r="C26">
        <v>1</v>
      </c>
    </row>
    <row r="27" spans="1:3" x14ac:dyDescent="0.2">
      <c r="A27" t="s">
        <v>23</v>
      </c>
      <c r="B27" t="s">
        <v>63</v>
      </c>
      <c r="C27">
        <v>1</v>
      </c>
    </row>
    <row r="28" spans="1:3" x14ac:dyDescent="0.2">
      <c r="A28" t="s">
        <v>23</v>
      </c>
      <c r="B28" t="s">
        <v>64</v>
      </c>
      <c r="C28">
        <v>1</v>
      </c>
    </row>
    <row r="29" spans="1:3" x14ac:dyDescent="0.2">
      <c r="A29" t="s">
        <v>23</v>
      </c>
      <c r="B29" t="s">
        <v>65</v>
      </c>
      <c r="C29">
        <v>1</v>
      </c>
    </row>
    <row r="30" spans="1:3" x14ac:dyDescent="0.2">
      <c r="A30" t="s">
        <v>23</v>
      </c>
      <c r="B30" t="s">
        <v>66</v>
      </c>
      <c r="C30">
        <v>1</v>
      </c>
    </row>
    <row r="31" spans="1:3" x14ac:dyDescent="0.2">
      <c r="A31" t="s">
        <v>23</v>
      </c>
      <c r="B31" t="s">
        <v>67</v>
      </c>
      <c r="C31">
        <v>1</v>
      </c>
    </row>
    <row r="32" spans="1:3" x14ac:dyDescent="0.2">
      <c r="A32" t="s">
        <v>23</v>
      </c>
      <c r="B32" t="s">
        <v>68</v>
      </c>
      <c r="C32">
        <v>1</v>
      </c>
    </row>
    <row r="33" spans="1:3" x14ac:dyDescent="0.2">
      <c r="A33" t="s">
        <v>23</v>
      </c>
      <c r="B33" t="s">
        <v>69</v>
      </c>
      <c r="C33">
        <v>1</v>
      </c>
    </row>
    <row r="34" spans="1:3" x14ac:dyDescent="0.2">
      <c r="A34" t="s">
        <v>23</v>
      </c>
      <c r="B34" t="s">
        <v>70</v>
      </c>
      <c r="C34">
        <v>1</v>
      </c>
    </row>
    <row r="35" spans="1:3" x14ac:dyDescent="0.2">
      <c r="A35" t="s">
        <v>23</v>
      </c>
      <c r="B35" t="s">
        <v>71</v>
      </c>
      <c r="C35">
        <v>1</v>
      </c>
    </row>
    <row r="36" spans="1:3" x14ac:dyDescent="0.2">
      <c r="A36" t="s">
        <v>23</v>
      </c>
      <c r="B36" t="s">
        <v>72</v>
      </c>
      <c r="C36">
        <v>1</v>
      </c>
    </row>
    <row r="37" spans="1:3" x14ac:dyDescent="0.2">
      <c r="A37" t="s">
        <v>23</v>
      </c>
      <c r="B37" t="s">
        <v>73</v>
      </c>
      <c r="C37">
        <v>1</v>
      </c>
    </row>
    <row r="38" spans="1:3" x14ac:dyDescent="0.2">
      <c r="A38" t="s">
        <v>23</v>
      </c>
      <c r="B38" t="s">
        <v>74</v>
      </c>
      <c r="C38">
        <v>1</v>
      </c>
    </row>
    <row r="39" spans="1:3" x14ac:dyDescent="0.2">
      <c r="A39" t="s">
        <v>24</v>
      </c>
      <c r="B39" t="s">
        <v>38</v>
      </c>
      <c r="C39">
        <v>0</v>
      </c>
    </row>
    <row r="40" spans="1:3" x14ac:dyDescent="0.2">
      <c r="A40" t="s">
        <v>24</v>
      </c>
      <c r="B40" t="s">
        <v>39</v>
      </c>
      <c r="C40">
        <v>20</v>
      </c>
    </row>
    <row r="41" spans="1:3" x14ac:dyDescent="0.2">
      <c r="A41" t="s">
        <v>24</v>
      </c>
      <c r="B41" t="s">
        <v>40</v>
      </c>
      <c r="C41">
        <v>50</v>
      </c>
    </row>
    <row r="42" spans="1:3" x14ac:dyDescent="0.2">
      <c r="A42" t="s">
        <v>24</v>
      </c>
      <c r="B42" t="s">
        <v>41</v>
      </c>
      <c r="C42">
        <v>100</v>
      </c>
    </row>
    <row r="43" spans="1:3" x14ac:dyDescent="0.2">
      <c r="A43" t="s">
        <v>24</v>
      </c>
      <c r="B43" t="s">
        <v>42</v>
      </c>
      <c r="C43">
        <v>150</v>
      </c>
    </row>
    <row r="44" spans="1:3" x14ac:dyDescent="0.2">
      <c r="A44" t="s">
        <v>24</v>
      </c>
      <c r="B44" t="s">
        <v>43</v>
      </c>
      <c r="C44">
        <v>180</v>
      </c>
    </row>
    <row r="45" spans="1:3" x14ac:dyDescent="0.2">
      <c r="A45" t="s">
        <v>24</v>
      </c>
      <c r="B45" t="s">
        <v>44</v>
      </c>
      <c r="C45">
        <v>200</v>
      </c>
    </row>
    <row r="46" spans="1:3" x14ac:dyDescent="0.2">
      <c r="A46" t="s">
        <v>24</v>
      </c>
      <c r="B46" t="s">
        <v>45</v>
      </c>
      <c r="C46">
        <v>200</v>
      </c>
    </row>
    <row r="47" spans="1:3" x14ac:dyDescent="0.2">
      <c r="A47" t="s">
        <v>24</v>
      </c>
      <c r="B47" t="s">
        <v>46</v>
      </c>
      <c r="C47">
        <v>200</v>
      </c>
    </row>
    <row r="48" spans="1:3" x14ac:dyDescent="0.2">
      <c r="A48" t="s">
        <v>24</v>
      </c>
      <c r="B48" t="s">
        <v>47</v>
      </c>
      <c r="C48">
        <v>200</v>
      </c>
    </row>
    <row r="49" spans="1:3" x14ac:dyDescent="0.2">
      <c r="A49" t="s">
        <v>24</v>
      </c>
      <c r="B49" t="s">
        <v>48</v>
      </c>
      <c r="C49">
        <v>200</v>
      </c>
    </row>
    <row r="50" spans="1:3" x14ac:dyDescent="0.2">
      <c r="A50" t="s">
        <v>24</v>
      </c>
      <c r="B50" t="s">
        <v>49</v>
      </c>
      <c r="C50">
        <v>200</v>
      </c>
    </row>
    <row r="51" spans="1:3" x14ac:dyDescent="0.2">
      <c r="A51" t="s">
        <v>24</v>
      </c>
      <c r="B51" t="s">
        <v>50</v>
      </c>
      <c r="C51">
        <v>200</v>
      </c>
    </row>
    <row r="52" spans="1:3" x14ac:dyDescent="0.2">
      <c r="A52" t="s">
        <v>24</v>
      </c>
      <c r="B52" t="s">
        <v>51</v>
      </c>
      <c r="C52">
        <v>200</v>
      </c>
    </row>
    <row r="53" spans="1:3" x14ac:dyDescent="0.2">
      <c r="A53" t="s">
        <v>24</v>
      </c>
      <c r="B53" t="s">
        <v>52</v>
      </c>
      <c r="C53">
        <v>200</v>
      </c>
    </row>
    <row r="54" spans="1:3" x14ac:dyDescent="0.2">
      <c r="A54" t="s">
        <v>24</v>
      </c>
      <c r="B54" t="s">
        <v>53</v>
      </c>
      <c r="C54">
        <v>200</v>
      </c>
    </row>
    <row r="55" spans="1:3" x14ac:dyDescent="0.2">
      <c r="A55" t="s">
        <v>24</v>
      </c>
      <c r="B55" t="s">
        <v>54</v>
      </c>
      <c r="C55">
        <v>200</v>
      </c>
    </row>
    <row r="56" spans="1:3" x14ac:dyDescent="0.2">
      <c r="A56" t="s">
        <v>24</v>
      </c>
      <c r="B56" t="s">
        <v>55</v>
      </c>
      <c r="C56">
        <v>200</v>
      </c>
    </row>
    <row r="57" spans="1:3" x14ac:dyDescent="0.2">
      <c r="A57" t="s">
        <v>24</v>
      </c>
      <c r="B57" t="s">
        <v>56</v>
      </c>
      <c r="C57">
        <v>200</v>
      </c>
    </row>
    <row r="58" spans="1:3" x14ac:dyDescent="0.2">
      <c r="A58" t="s">
        <v>24</v>
      </c>
      <c r="B58" t="s">
        <v>57</v>
      </c>
      <c r="C58">
        <v>200</v>
      </c>
    </row>
    <row r="59" spans="1:3" x14ac:dyDescent="0.2">
      <c r="A59" t="s">
        <v>24</v>
      </c>
      <c r="B59" t="s">
        <v>58</v>
      </c>
      <c r="C59">
        <v>200</v>
      </c>
    </row>
    <row r="60" spans="1:3" x14ac:dyDescent="0.2">
      <c r="A60" t="s">
        <v>24</v>
      </c>
      <c r="B60" t="s">
        <v>59</v>
      </c>
      <c r="C60">
        <v>200</v>
      </c>
    </row>
    <row r="61" spans="1:3" x14ac:dyDescent="0.2">
      <c r="A61" t="s">
        <v>24</v>
      </c>
      <c r="B61" t="s">
        <v>60</v>
      </c>
      <c r="C61">
        <v>200</v>
      </c>
    </row>
    <row r="62" spans="1:3" x14ac:dyDescent="0.2">
      <c r="A62" t="s">
        <v>24</v>
      </c>
      <c r="B62" t="s">
        <v>61</v>
      </c>
      <c r="C62">
        <v>200</v>
      </c>
    </row>
    <row r="63" spans="1:3" x14ac:dyDescent="0.2">
      <c r="A63" t="s">
        <v>24</v>
      </c>
      <c r="B63" t="s">
        <v>62</v>
      </c>
      <c r="C63">
        <v>200</v>
      </c>
    </row>
    <row r="64" spans="1:3" x14ac:dyDescent="0.2">
      <c r="A64" t="s">
        <v>24</v>
      </c>
      <c r="B64" t="s">
        <v>63</v>
      </c>
      <c r="C64">
        <v>200</v>
      </c>
    </row>
    <row r="65" spans="1:3" x14ac:dyDescent="0.2">
      <c r="A65" t="s">
        <v>24</v>
      </c>
      <c r="B65" t="s">
        <v>64</v>
      </c>
      <c r="C65">
        <v>200</v>
      </c>
    </row>
    <row r="66" spans="1:3" x14ac:dyDescent="0.2">
      <c r="A66" t="s">
        <v>24</v>
      </c>
      <c r="B66" t="s">
        <v>65</v>
      </c>
      <c r="C66">
        <v>200</v>
      </c>
    </row>
    <row r="67" spans="1:3" x14ac:dyDescent="0.2">
      <c r="A67" t="s">
        <v>24</v>
      </c>
      <c r="B67" t="s">
        <v>66</v>
      </c>
      <c r="C67">
        <v>200</v>
      </c>
    </row>
    <row r="68" spans="1:3" x14ac:dyDescent="0.2">
      <c r="A68" t="s">
        <v>24</v>
      </c>
      <c r="B68" t="s">
        <v>67</v>
      </c>
      <c r="C68">
        <v>200</v>
      </c>
    </row>
    <row r="69" spans="1:3" x14ac:dyDescent="0.2">
      <c r="A69" t="s">
        <v>24</v>
      </c>
      <c r="B69" t="s">
        <v>68</v>
      </c>
      <c r="C69">
        <v>200</v>
      </c>
    </row>
    <row r="70" spans="1:3" x14ac:dyDescent="0.2">
      <c r="A70" t="s">
        <v>24</v>
      </c>
      <c r="B70" t="s">
        <v>69</v>
      </c>
      <c r="C70">
        <v>200</v>
      </c>
    </row>
    <row r="71" spans="1:3" x14ac:dyDescent="0.2">
      <c r="A71" t="s">
        <v>24</v>
      </c>
      <c r="B71" t="s">
        <v>70</v>
      </c>
      <c r="C71">
        <v>200</v>
      </c>
    </row>
    <row r="72" spans="1:3" x14ac:dyDescent="0.2">
      <c r="A72" t="s">
        <v>24</v>
      </c>
      <c r="B72" t="s">
        <v>71</v>
      </c>
      <c r="C72">
        <v>200</v>
      </c>
    </row>
    <row r="73" spans="1:3" x14ac:dyDescent="0.2">
      <c r="A73" t="s">
        <v>24</v>
      </c>
      <c r="B73" t="s">
        <v>72</v>
      </c>
      <c r="C73">
        <v>200</v>
      </c>
    </row>
    <row r="74" spans="1:3" x14ac:dyDescent="0.2">
      <c r="A74" t="s">
        <v>24</v>
      </c>
      <c r="B74" t="s">
        <v>73</v>
      </c>
      <c r="C74">
        <v>200</v>
      </c>
    </row>
    <row r="75" spans="1:3" x14ac:dyDescent="0.2">
      <c r="A75" t="s">
        <v>24</v>
      </c>
      <c r="B75" t="s">
        <v>74</v>
      </c>
      <c r="C75">
        <v>200</v>
      </c>
    </row>
    <row r="76" spans="1:3" x14ac:dyDescent="0.2">
      <c r="A76" t="s">
        <v>25</v>
      </c>
      <c r="B76" t="s">
        <v>38</v>
      </c>
      <c r="C76">
        <v>0</v>
      </c>
    </row>
    <row r="77" spans="1:3" x14ac:dyDescent="0.2">
      <c r="A77" t="s">
        <v>25</v>
      </c>
      <c r="B77" t="s">
        <v>39</v>
      </c>
      <c r="C77">
        <v>692.8</v>
      </c>
    </row>
    <row r="78" spans="1:3" x14ac:dyDescent="0.2">
      <c r="A78" t="s">
        <v>25</v>
      </c>
      <c r="B78" t="s">
        <v>40</v>
      </c>
      <c r="C78">
        <v>1732</v>
      </c>
    </row>
    <row r="79" spans="1:3" x14ac:dyDescent="0.2">
      <c r="A79" t="s">
        <v>25</v>
      </c>
      <c r="B79" t="s">
        <v>41</v>
      </c>
      <c r="C79">
        <v>3464</v>
      </c>
    </row>
    <row r="80" spans="1:3" x14ac:dyDescent="0.2">
      <c r="A80" t="s">
        <v>25</v>
      </c>
      <c r="B80" t="s">
        <v>42</v>
      </c>
      <c r="C80">
        <v>5196</v>
      </c>
    </row>
    <row r="81" spans="1:3" x14ac:dyDescent="0.2">
      <c r="A81" t="s">
        <v>25</v>
      </c>
      <c r="B81" t="s">
        <v>43</v>
      </c>
      <c r="C81">
        <v>6235.2</v>
      </c>
    </row>
    <row r="82" spans="1:3" x14ac:dyDescent="0.2">
      <c r="A82" t="s">
        <v>25</v>
      </c>
      <c r="B82" t="s">
        <v>44</v>
      </c>
      <c r="C82">
        <v>6928</v>
      </c>
    </row>
    <row r="83" spans="1:3" x14ac:dyDescent="0.2">
      <c r="A83" t="s">
        <v>25</v>
      </c>
      <c r="B83" t="s">
        <v>45</v>
      </c>
      <c r="C83">
        <v>6928</v>
      </c>
    </row>
    <row r="84" spans="1:3" x14ac:dyDescent="0.2">
      <c r="A84" t="s">
        <v>25</v>
      </c>
      <c r="B84" t="s">
        <v>46</v>
      </c>
      <c r="C84">
        <v>6928</v>
      </c>
    </row>
    <row r="85" spans="1:3" x14ac:dyDescent="0.2">
      <c r="A85" t="s">
        <v>25</v>
      </c>
      <c r="B85" t="s">
        <v>47</v>
      </c>
      <c r="C85">
        <v>6928</v>
      </c>
    </row>
    <row r="86" spans="1:3" x14ac:dyDescent="0.2">
      <c r="A86" t="s">
        <v>25</v>
      </c>
      <c r="B86" t="s">
        <v>48</v>
      </c>
      <c r="C86">
        <v>6928</v>
      </c>
    </row>
    <row r="87" spans="1:3" x14ac:dyDescent="0.2">
      <c r="A87" t="s">
        <v>25</v>
      </c>
      <c r="B87" t="s">
        <v>49</v>
      </c>
      <c r="C87">
        <v>6928</v>
      </c>
    </row>
    <row r="88" spans="1:3" x14ac:dyDescent="0.2">
      <c r="A88" t="s">
        <v>25</v>
      </c>
      <c r="B88" t="s">
        <v>50</v>
      </c>
      <c r="C88">
        <v>6928</v>
      </c>
    </row>
    <row r="89" spans="1:3" x14ac:dyDescent="0.2">
      <c r="A89" t="s">
        <v>25</v>
      </c>
      <c r="B89" t="s">
        <v>51</v>
      </c>
      <c r="C89">
        <v>6928</v>
      </c>
    </row>
    <row r="90" spans="1:3" x14ac:dyDescent="0.2">
      <c r="A90" t="s">
        <v>25</v>
      </c>
      <c r="B90" t="s">
        <v>52</v>
      </c>
      <c r="C90">
        <v>6928</v>
      </c>
    </row>
    <row r="91" spans="1:3" x14ac:dyDescent="0.2">
      <c r="A91" t="s">
        <v>25</v>
      </c>
      <c r="B91" t="s">
        <v>53</v>
      </c>
      <c r="C91">
        <v>6928</v>
      </c>
    </row>
    <row r="92" spans="1:3" x14ac:dyDescent="0.2">
      <c r="A92" t="s">
        <v>25</v>
      </c>
      <c r="B92" t="s">
        <v>54</v>
      </c>
      <c r="C92">
        <v>6928</v>
      </c>
    </row>
    <row r="93" spans="1:3" x14ac:dyDescent="0.2">
      <c r="A93" t="s">
        <v>25</v>
      </c>
      <c r="B93" t="s">
        <v>55</v>
      </c>
      <c r="C93">
        <v>6928</v>
      </c>
    </row>
    <row r="94" spans="1:3" x14ac:dyDescent="0.2">
      <c r="A94" t="s">
        <v>25</v>
      </c>
      <c r="B94" t="s">
        <v>56</v>
      </c>
      <c r="C94">
        <v>6928</v>
      </c>
    </row>
    <row r="95" spans="1:3" x14ac:dyDescent="0.2">
      <c r="A95" t="s">
        <v>25</v>
      </c>
      <c r="B95" t="s">
        <v>57</v>
      </c>
      <c r="C95">
        <v>6928</v>
      </c>
    </row>
    <row r="96" spans="1:3" x14ac:dyDescent="0.2">
      <c r="A96" t="s">
        <v>25</v>
      </c>
      <c r="B96" t="s">
        <v>58</v>
      </c>
      <c r="C96">
        <v>6928</v>
      </c>
    </row>
    <row r="97" spans="1:3" x14ac:dyDescent="0.2">
      <c r="A97" t="s">
        <v>25</v>
      </c>
      <c r="B97" t="s">
        <v>59</v>
      </c>
      <c r="C97">
        <v>6928</v>
      </c>
    </row>
    <row r="98" spans="1:3" x14ac:dyDescent="0.2">
      <c r="A98" t="s">
        <v>25</v>
      </c>
      <c r="B98" t="s">
        <v>60</v>
      </c>
      <c r="C98">
        <v>6928</v>
      </c>
    </row>
    <row r="99" spans="1:3" x14ac:dyDescent="0.2">
      <c r="A99" t="s">
        <v>25</v>
      </c>
      <c r="B99" t="s">
        <v>61</v>
      </c>
      <c r="C99">
        <v>6928</v>
      </c>
    </row>
    <row r="100" spans="1:3" x14ac:dyDescent="0.2">
      <c r="A100" t="s">
        <v>25</v>
      </c>
      <c r="B100" t="s">
        <v>62</v>
      </c>
      <c r="C100">
        <v>6928</v>
      </c>
    </row>
    <row r="101" spans="1:3" x14ac:dyDescent="0.2">
      <c r="A101" t="s">
        <v>25</v>
      </c>
      <c r="B101" t="s">
        <v>63</v>
      </c>
      <c r="C101">
        <v>6928</v>
      </c>
    </row>
    <row r="102" spans="1:3" x14ac:dyDescent="0.2">
      <c r="A102" t="s">
        <v>25</v>
      </c>
      <c r="B102" t="s">
        <v>64</v>
      </c>
      <c r="C102">
        <v>6928</v>
      </c>
    </row>
    <row r="103" spans="1:3" x14ac:dyDescent="0.2">
      <c r="A103" t="s">
        <v>25</v>
      </c>
      <c r="B103" t="s">
        <v>65</v>
      </c>
      <c r="C103">
        <v>6928</v>
      </c>
    </row>
    <row r="104" spans="1:3" x14ac:dyDescent="0.2">
      <c r="A104" t="s">
        <v>25</v>
      </c>
      <c r="B104" t="s">
        <v>66</v>
      </c>
      <c r="C104">
        <v>6928</v>
      </c>
    </row>
    <row r="105" spans="1:3" x14ac:dyDescent="0.2">
      <c r="A105" t="s">
        <v>25</v>
      </c>
      <c r="B105" t="s">
        <v>67</v>
      </c>
      <c r="C105">
        <v>6928</v>
      </c>
    </row>
    <row r="106" spans="1:3" x14ac:dyDescent="0.2">
      <c r="A106" t="s">
        <v>25</v>
      </c>
      <c r="B106" t="s">
        <v>68</v>
      </c>
      <c r="C106">
        <v>6928</v>
      </c>
    </row>
    <row r="107" spans="1:3" x14ac:dyDescent="0.2">
      <c r="A107" t="s">
        <v>25</v>
      </c>
      <c r="B107" t="s">
        <v>69</v>
      </c>
      <c r="C107">
        <v>6928</v>
      </c>
    </row>
    <row r="108" spans="1:3" x14ac:dyDescent="0.2">
      <c r="A108" t="s">
        <v>25</v>
      </c>
      <c r="B108" t="s">
        <v>70</v>
      </c>
      <c r="C108">
        <v>6928</v>
      </c>
    </row>
    <row r="109" spans="1:3" x14ac:dyDescent="0.2">
      <c r="A109" t="s">
        <v>25</v>
      </c>
      <c r="B109" t="s">
        <v>71</v>
      </c>
      <c r="C109">
        <v>6928</v>
      </c>
    </row>
    <row r="110" spans="1:3" x14ac:dyDescent="0.2">
      <c r="A110" t="s">
        <v>25</v>
      </c>
      <c r="B110" t="s">
        <v>72</v>
      </c>
      <c r="C110">
        <v>6928</v>
      </c>
    </row>
    <row r="111" spans="1:3" x14ac:dyDescent="0.2">
      <c r="A111" t="s">
        <v>25</v>
      </c>
      <c r="B111" t="s">
        <v>73</v>
      </c>
      <c r="C111">
        <v>6928</v>
      </c>
    </row>
    <row r="112" spans="1:3" x14ac:dyDescent="0.2">
      <c r="A112" t="s">
        <v>25</v>
      </c>
      <c r="B112" t="s">
        <v>74</v>
      </c>
      <c r="C112">
        <v>6928</v>
      </c>
    </row>
    <row r="113" spans="1:3" x14ac:dyDescent="0.2">
      <c r="A113" t="s">
        <v>26</v>
      </c>
      <c r="B113" t="s">
        <v>38</v>
      </c>
      <c r="C113">
        <v>0</v>
      </c>
    </row>
    <row r="114" spans="1:3" x14ac:dyDescent="0.2">
      <c r="A114" t="s">
        <v>26</v>
      </c>
      <c r="B114" t="s">
        <v>39</v>
      </c>
      <c r="C114">
        <v>28311.538461538457</v>
      </c>
    </row>
    <row r="115" spans="1:3" x14ac:dyDescent="0.2">
      <c r="A115" t="s">
        <v>26</v>
      </c>
      <c r="B115" t="s">
        <v>40</v>
      </c>
      <c r="C115">
        <v>70778.846153846156</v>
      </c>
    </row>
    <row r="116" spans="1:3" x14ac:dyDescent="0.2">
      <c r="A116" t="s">
        <v>26</v>
      </c>
      <c r="B116" t="s">
        <v>41</v>
      </c>
      <c r="C116">
        <v>141557.69230769231</v>
      </c>
    </row>
    <row r="117" spans="1:3" x14ac:dyDescent="0.2">
      <c r="A117" t="s">
        <v>26</v>
      </c>
      <c r="B117" t="s">
        <v>42</v>
      </c>
      <c r="C117">
        <v>212336.53846153844</v>
      </c>
    </row>
    <row r="118" spans="1:3" x14ac:dyDescent="0.2">
      <c r="A118" t="s">
        <v>26</v>
      </c>
      <c r="B118" t="s">
        <v>43</v>
      </c>
      <c r="C118">
        <v>254803.84615384613</v>
      </c>
    </row>
    <row r="119" spans="1:3" x14ac:dyDescent="0.2">
      <c r="A119" t="s">
        <v>26</v>
      </c>
      <c r="B119" t="s">
        <v>44</v>
      </c>
      <c r="C119">
        <v>283115.38461538462</v>
      </c>
    </row>
    <row r="120" spans="1:3" x14ac:dyDescent="0.2">
      <c r="A120" t="s">
        <v>26</v>
      </c>
      <c r="B120" t="s">
        <v>45</v>
      </c>
      <c r="C120">
        <v>283115.38461538462</v>
      </c>
    </row>
    <row r="121" spans="1:3" x14ac:dyDescent="0.2">
      <c r="A121" t="s">
        <v>26</v>
      </c>
      <c r="B121" t="s">
        <v>46</v>
      </c>
      <c r="C121">
        <v>283115.38461538462</v>
      </c>
    </row>
    <row r="122" spans="1:3" x14ac:dyDescent="0.2">
      <c r="A122" t="s">
        <v>26</v>
      </c>
      <c r="B122" t="s">
        <v>47</v>
      </c>
      <c r="C122">
        <v>283115.38461538462</v>
      </c>
    </row>
    <row r="123" spans="1:3" x14ac:dyDescent="0.2">
      <c r="A123" t="s">
        <v>26</v>
      </c>
      <c r="B123" t="s">
        <v>48</v>
      </c>
      <c r="C123">
        <v>283115.38461538462</v>
      </c>
    </row>
    <row r="124" spans="1:3" x14ac:dyDescent="0.2">
      <c r="A124" t="s">
        <v>26</v>
      </c>
      <c r="B124" t="s">
        <v>49</v>
      </c>
      <c r="C124">
        <v>283115.38461538462</v>
      </c>
    </row>
    <row r="125" spans="1:3" x14ac:dyDescent="0.2">
      <c r="A125" t="s">
        <v>26</v>
      </c>
      <c r="B125" t="s">
        <v>50</v>
      </c>
      <c r="C125">
        <v>283115.38461538462</v>
      </c>
    </row>
    <row r="126" spans="1:3" x14ac:dyDescent="0.2">
      <c r="A126" t="s">
        <v>26</v>
      </c>
      <c r="B126" t="s">
        <v>51</v>
      </c>
      <c r="C126">
        <v>283115.38461538462</v>
      </c>
    </row>
    <row r="127" spans="1:3" x14ac:dyDescent="0.2">
      <c r="A127" t="s">
        <v>26</v>
      </c>
      <c r="B127" t="s">
        <v>52</v>
      </c>
      <c r="C127">
        <v>283115.38461538462</v>
      </c>
    </row>
    <row r="128" spans="1:3" x14ac:dyDescent="0.2">
      <c r="A128" t="s">
        <v>26</v>
      </c>
      <c r="B128" t="s">
        <v>53</v>
      </c>
      <c r="C128">
        <v>283115.38461538462</v>
      </c>
    </row>
    <row r="129" spans="1:3" x14ac:dyDescent="0.2">
      <c r="A129" t="s">
        <v>26</v>
      </c>
      <c r="B129" t="s">
        <v>54</v>
      </c>
      <c r="C129">
        <v>283115.38461538462</v>
      </c>
    </row>
    <row r="130" spans="1:3" x14ac:dyDescent="0.2">
      <c r="A130" t="s">
        <v>26</v>
      </c>
      <c r="B130" t="s">
        <v>55</v>
      </c>
      <c r="C130">
        <v>283115.38461538462</v>
      </c>
    </row>
    <row r="131" spans="1:3" x14ac:dyDescent="0.2">
      <c r="A131" t="s">
        <v>26</v>
      </c>
      <c r="B131" t="s">
        <v>56</v>
      </c>
      <c r="C131">
        <v>283115.38461538462</v>
      </c>
    </row>
    <row r="132" spans="1:3" x14ac:dyDescent="0.2">
      <c r="A132" t="s">
        <v>26</v>
      </c>
      <c r="B132" t="s">
        <v>57</v>
      </c>
      <c r="C132">
        <v>283115.38461538462</v>
      </c>
    </row>
    <row r="133" spans="1:3" x14ac:dyDescent="0.2">
      <c r="A133" t="s">
        <v>26</v>
      </c>
      <c r="B133" t="s">
        <v>58</v>
      </c>
      <c r="C133">
        <v>283115.38461538462</v>
      </c>
    </row>
    <row r="134" spans="1:3" x14ac:dyDescent="0.2">
      <c r="A134" t="s">
        <v>26</v>
      </c>
      <c r="B134" t="s">
        <v>59</v>
      </c>
      <c r="C134">
        <v>283115.38461538462</v>
      </c>
    </row>
    <row r="135" spans="1:3" x14ac:dyDescent="0.2">
      <c r="A135" t="s">
        <v>26</v>
      </c>
      <c r="B135" t="s">
        <v>60</v>
      </c>
      <c r="C135">
        <v>283115.38461538462</v>
      </c>
    </row>
    <row r="136" spans="1:3" x14ac:dyDescent="0.2">
      <c r="A136" t="s">
        <v>26</v>
      </c>
      <c r="B136" t="s">
        <v>61</v>
      </c>
      <c r="C136">
        <v>283115.38461538462</v>
      </c>
    </row>
    <row r="137" spans="1:3" x14ac:dyDescent="0.2">
      <c r="A137" t="s">
        <v>26</v>
      </c>
      <c r="B137" t="s">
        <v>62</v>
      </c>
      <c r="C137">
        <v>283115.38461538462</v>
      </c>
    </row>
    <row r="138" spans="1:3" x14ac:dyDescent="0.2">
      <c r="A138" t="s">
        <v>26</v>
      </c>
      <c r="B138" t="s">
        <v>63</v>
      </c>
      <c r="C138">
        <v>283115.38461538462</v>
      </c>
    </row>
    <row r="139" spans="1:3" x14ac:dyDescent="0.2">
      <c r="A139" t="s">
        <v>26</v>
      </c>
      <c r="B139" t="s">
        <v>64</v>
      </c>
      <c r="C139">
        <v>283115.38461538462</v>
      </c>
    </row>
    <row r="140" spans="1:3" x14ac:dyDescent="0.2">
      <c r="A140" t="s">
        <v>26</v>
      </c>
      <c r="B140" t="s">
        <v>65</v>
      </c>
      <c r="C140">
        <v>283115.38461538462</v>
      </c>
    </row>
    <row r="141" spans="1:3" x14ac:dyDescent="0.2">
      <c r="A141" t="s">
        <v>26</v>
      </c>
      <c r="B141" t="s">
        <v>66</v>
      </c>
      <c r="C141">
        <v>283115.38461538462</v>
      </c>
    </row>
    <row r="142" spans="1:3" x14ac:dyDescent="0.2">
      <c r="A142" t="s">
        <v>26</v>
      </c>
      <c r="B142" t="s">
        <v>67</v>
      </c>
      <c r="C142">
        <v>283115.38461538462</v>
      </c>
    </row>
    <row r="143" spans="1:3" x14ac:dyDescent="0.2">
      <c r="A143" t="s">
        <v>26</v>
      </c>
      <c r="B143" t="s">
        <v>68</v>
      </c>
      <c r="C143">
        <v>283115.38461538462</v>
      </c>
    </row>
    <row r="144" spans="1:3" x14ac:dyDescent="0.2">
      <c r="A144" t="s">
        <v>26</v>
      </c>
      <c r="B144" t="s">
        <v>69</v>
      </c>
      <c r="C144">
        <v>283115.38461538462</v>
      </c>
    </row>
    <row r="145" spans="1:3" x14ac:dyDescent="0.2">
      <c r="A145" t="s">
        <v>26</v>
      </c>
      <c r="B145" t="s">
        <v>70</v>
      </c>
      <c r="C145">
        <v>283115.38461538462</v>
      </c>
    </row>
    <row r="146" spans="1:3" x14ac:dyDescent="0.2">
      <c r="A146" t="s">
        <v>26</v>
      </c>
      <c r="B146" t="s">
        <v>71</v>
      </c>
      <c r="C146">
        <v>283115.38461538462</v>
      </c>
    </row>
    <row r="147" spans="1:3" x14ac:dyDescent="0.2">
      <c r="A147" t="s">
        <v>26</v>
      </c>
      <c r="B147" t="s">
        <v>72</v>
      </c>
      <c r="C147">
        <v>283115.38461538462</v>
      </c>
    </row>
    <row r="148" spans="1:3" x14ac:dyDescent="0.2">
      <c r="A148" t="s">
        <v>26</v>
      </c>
      <c r="B148" t="s">
        <v>73</v>
      </c>
      <c r="C148">
        <v>283115.38461538462</v>
      </c>
    </row>
    <row r="149" spans="1:3" x14ac:dyDescent="0.2">
      <c r="A149" t="s">
        <v>26</v>
      </c>
      <c r="B149" t="s">
        <v>74</v>
      </c>
      <c r="C149">
        <v>283115.38461538462</v>
      </c>
    </row>
    <row r="150" spans="1:3" x14ac:dyDescent="0.2">
      <c r="A150" t="s">
        <v>27</v>
      </c>
      <c r="B150" t="s">
        <v>38</v>
      </c>
      <c r="C150">
        <v>0</v>
      </c>
    </row>
    <row r="151" spans="1:3" x14ac:dyDescent="0.2">
      <c r="A151" t="s">
        <v>27</v>
      </c>
      <c r="B151" t="s">
        <v>39</v>
      </c>
      <c r="C151">
        <v>28311.538461538457</v>
      </c>
    </row>
    <row r="152" spans="1:3" x14ac:dyDescent="0.2">
      <c r="A152" t="s">
        <v>27</v>
      </c>
      <c r="B152" t="s">
        <v>40</v>
      </c>
      <c r="C152">
        <v>70778.846153846156</v>
      </c>
    </row>
    <row r="153" spans="1:3" x14ac:dyDescent="0.2">
      <c r="A153" t="s">
        <v>27</v>
      </c>
      <c r="B153" t="s">
        <v>41</v>
      </c>
      <c r="C153">
        <v>141557.69230769231</v>
      </c>
    </row>
    <row r="154" spans="1:3" x14ac:dyDescent="0.2">
      <c r="A154" t="s">
        <v>27</v>
      </c>
      <c r="B154" t="s">
        <v>42</v>
      </c>
      <c r="C154">
        <v>212336.53846153844</v>
      </c>
    </row>
    <row r="155" spans="1:3" x14ac:dyDescent="0.2">
      <c r="A155" t="s">
        <v>27</v>
      </c>
      <c r="B155" t="s">
        <v>43</v>
      </c>
      <c r="C155">
        <v>254803.84615384613</v>
      </c>
    </row>
    <row r="156" spans="1:3" x14ac:dyDescent="0.2">
      <c r="A156" t="s">
        <v>27</v>
      </c>
      <c r="B156" t="s">
        <v>44</v>
      </c>
      <c r="C156">
        <v>283115.38461538462</v>
      </c>
    </row>
    <row r="157" spans="1:3" x14ac:dyDescent="0.2">
      <c r="A157" t="s">
        <v>27</v>
      </c>
      <c r="B157" t="s">
        <v>45</v>
      </c>
      <c r="C157">
        <v>283115.38461538462</v>
      </c>
    </row>
    <row r="158" spans="1:3" x14ac:dyDescent="0.2">
      <c r="A158" t="s">
        <v>27</v>
      </c>
      <c r="B158" t="s">
        <v>46</v>
      </c>
      <c r="C158">
        <v>283115.38461538462</v>
      </c>
    </row>
    <row r="159" spans="1:3" x14ac:dyDescent="0.2">
      <c r="A159" t="s">
        <v>27</v>
      </c>
      <c r="B159" t="s">
        <v>47</v>
      </c>
      <c r="C159">
        <v>283115.38461538462</v>
      </c>
    </row>
    <row r="160" spans="1:3" x14ac:dyDescent="0.2">
      <c r="A160" t="s">
        <v>27</v>
      </c>
      <c r="B160" t="s">
        <v>48</v>
      </c>
      <c r="C160">
        <v>283115.38461538462</v>
      </c>
    </row>
    <row r="161" spans="1:3" x14ac:dyDescent="0.2">
      <c r="A161" t="s">
        <v>27</v>
      </c>
      <c r="B161" t="s">
        <v>49</v>
      </c>
      <c r="C161">
        <v>283115.38461538462</v>
      </c>
    </row>
    <row r="162" spans="1:3" x14ac:dyDescent="0.2">
      <c r="A162" t="s">
        <v>27</v>
      </c>
      <c r="B162" t="s">
        <v>50</v>
      </c>
      <c r="C162">
        <v>283115.38461538462</v>
      </c>
    </row>
    <row r="163" spans="1:3" x14ac:dyDescent="0.2">
      <c r="A163" t="s">
        <v>27</v>
      </c>
      <c r="B163" t="s">
        <v>51</v>
      </c>
      <c r="C163">
        <v>283115.38461538462</v>
      </c>
    </row>
    <row r="164" spans="1:3" x14ac:dyDescent="0.2">
      <c r="A164" t="s">
        <v>27</v>
      </c>
      <c r="B164" t="s">
        <v>52</v>
      </c>
      <c r="C164">
        <v>283115.38461538462</v>
      </c>
    </row>
    <row r="165" spans="1:3" x14ac:dyDescent="0.2">
      <c r="A165" t="s">
        <v>27</v>
      </c>
      <c r="B165" t="s">
        <v>53</v>
      </c>
      <c r="C165">
        <v>283115.38461538462</v>
      </c>
    </row>
    <row r="166" spans="1:3" x14ac:dyDescent="0.2">
      <c r="A166" t="s">
        <v>27</v>
      </c>
      <c r="B166" t="s">
        <v>54</v>
      </c>
      <c r="C166">
        <v>283115.38461538462</v>
      </c>
    </row>
    <row r="167" spans="1:3" x14ac:dyDescent="0.2">
      <c r="A167" t="s">
        <v>27</v>
      </c>
      <c r="B167" t="s">
        <v>55</v>
      </c>
      <c r="C167">
        <v>283115.38461538462</v>
      </c>
    </row>
    <row r="168" spans="1:3" x14ac:dyDescent="0.2">
      <c r="A168" t="s">
        <v>27</v>
      </c>
      <c r="B168" t="s">
        <v>56</v>
      </c>
      <c r="C168">
        <v>283115.38461538462</v>
      </c>
    </row>
    <row r="169" spans="1:3" x14ac:dyDescent="0.2">
      <c r="A169" t="s">
        <v>27</v>
      </c>
      <c r="B169" t="s">
        <v>57</v>
      </c>
      <c r="C169">
        <v>283115.38461538462</v>
      </c>
    </row>
    <row r="170" spans="1:3" x14ac:dyDescent="0.2">
      <c r="A170" t="s">
        <v>27</v>
      </c>
      <c r="B170" t="s">
        <v>58</v>
      </c>
      <c r="C170">
        <v>283115.38461538462</v>
      </c>
    </row>
    <row r="171" spans="1:3" x14ac:dyDescent="0.2">
      <c r="A171" t="s">
        <v>27</v>
      </c>
      <c r="B171" t="s">
        <v>59</v>
      </c>
      <c r="C171">
        <v>283115.38461538462</v>
      </c>
    </row>
    <row r="172" spans="1:3" x14ac:dyDescent="0.2">
      <c r="A172" t="s">
        <v>27</v>
      </c>
      <c r="B172" t="s">
        <v>60</v>
      </c>
      <c r="C172">
        <v>283115.38461538462</v>
      </c>
    </row>
    <row r="173" spans="1:3" x14ac:dyDescent="0.2">
      <c r="A173" t="s">
        <v>27</v>
      </c>
      <c r="B173" t="s">
        <v>61</v>
      </c>
      <c r="C173">
        <v>283115.38461538462</v>
      </c>
    </row>
    <row r="174" spans="1:3" x14ac:dyDescent="0.2">
      <c r="A174" t="s">
        <v>27</v>
      </c>
      <c r="B174" t="s">
        <v>62</v>
      </c>
      <c r="C174">
        <v>283115.38461538462</v>
      </c>
    </row>
    <row r="175" spans="1:3" x14ac:dyDescent="0.2">
      <c r="A175" t="s">
        <v>27</v>
      </c>
      <c r="B175" t="s">
        <v>63</v>
      </c>
      <c r="C175">
        <v>283115.38461538462</v>
      </c>
    </row>
    <row r="176" spans="1:3" x14ac:dyDescent="0.2">
      <c r="A176" t="s">
        <v>27</v>
      </c>
      <c r="B176" t="s">
        <v>64</v>
      </c>
      <c r="C176">
        <v>283115.38461538462</v>
      </c>
    </row>
    <row r="177" spans="1:3" x14ac:dyDescent="0.2">
      <c r="A177" t="s">
        <v>27</v>
      </c>
      <c r="B177" t="s">
        <v>65</v>
      </c>
      <c r="C177">
        <v>283115.38461538462</v>
      </c>
    </row>
    <row r="178" spans="1:3" x14ac:dyDescent="0.2">
      <c r="A178" t="s">
        <v>27</v>
      </c>
      <c r="B178" t="s">
        <v>66</v>
      </c>
      <c r="C178">
        <v>283115.38461538462</v>
      </c>
    </row>
    <row r="179" spans="1:3" x14ac:dyDescent="0.2">
      <c r="A179" t="s">
        <v>27</v>
      </c>
      <c r="B179" t="s">
        <v>67</v>
      </c>
      <c r="C179">
        <v>283115.38461538462</v>
      </c>
    </row>
    <row r="180" spans="1:3" x14ac:dyDescent="0.2">
      <c r="A180" t="s">
        <v>27</v>
      </c>
      <c r="B180" t="s">
        <v>68</v>
      </c>
      <c r="C180">
        <v>283115.38461538462</v>
      </c>
    </row>
    <row r="181" spans="1:3" x14ac:dyDescent="0.2">
      <c r="A181" t="s">
        <v>27</v>
      </c>
      <c r="B181" t="s">
        <v>69</v>
      </c>
      <c r="C181">
        <v>283115.38461538462</v>
      </c>
    </row>
    <row r="182" spans="1:3" x14ac:dyDescent="0.2">
      <c r="A182" t="s">
        <v>27</v>
      </c>
      <c r="B182" t="s">
        <v>70</v>
      </c>
      <c r="C182">
        <v>283115.38461538462</v>
      </c>
    </row>
    <row r="183" spans="1:3" x14ac:dyDescent="0.2">
      <c r="A183" t="s">
        <v>27</v>
      </c>
      <c r="B183" t="s">
        <v>71</v>
      </c>
      <c r="C183">
        <v>283115.38461538462</v>
      </c>
    </row>
    <row r="184" spans="1:3" x14ac:dyDescent="0.2">
      <c r="A184" t="s">
        <v>27</v>
      </c>
      <c r="B184" t="s">
        <v>72</v>
      </c>
      <c r="C184">
        <v>283115.38461538462</v>
      </c>
    </row>
    <row r="185" spans="1:3" x14ac:dyDescent="0.2">
      <c r="A185" t="s">
        <v>27</v>
      </c>
      <c r="B185" t="s">
        <v>73</v>
      </c>
      <c r="C185">
        <v>283115.38461538462</v>
      </c>
    </row>
    <row r="186" spans="1:3" x14ac:dyDescent="0.2">
      <c r="A186" t="s">
        <v>27</v>
      </c>
      <c r="B186" t="s">
        <v>74</v>
      </c>
      <c r="C186">
        <v>283115.38461538462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CE29-B758-4845-98FB-4C39AE4A44F1}">
  <dimension ref="A1:AL7"/>
  <sheetViews>
    <sheetView topLeftCell="Q1" workbookViewId="0">
      <selection sqref="A1:AL7"/>
    </sheetView>
  </sheetViews>
  <sheetFormatPr baseColWidth="10" defaultRowHeight="16" x14ac:dyDescent="0.2"/>
  <cols>
    <col min="1" max="1" width="25" bestFit="1" customWidth="1"/>
  </cols>
  <sheetData>
    <row r="1" spans="1:38" x14ac:dyDescent="0.2">
      <c r="A1" t="s">
        <v>18</v>
      </c>
      <c r="B1">
        <f>Costs!B1</f>
        <v>0</v>
      </c>
      <c r="C1">
        <f>Costs!C1</f>
        <v>1</v>
      </c>
      <c r="D1">
        <f>Costs!D1</f>
        <v>2</v>
      </c>
      <c r="E1">
        <f>Costs!E1</f>
        <v>3</v>
      </c>
      <c r="F1">
        <f>Costs!F1</f>
        <v>4</v>
      </c>
      <c r="G1">
        <f>Costs!G1</f>
        <v>5</v>
      </c>
      <c r="H1">
        <f>Costs!H1</f>
        <v>6</v>
      </c>
      <c r="I1">
        <f>Costs!I1</f>
        <v>7</v>
      </c>
      <c r="J1">
        <f>Costs!J1</f>
        <v>8</v>
      </c>
      <c r="K1">
        <f>Costs!K1</f>
        <v>9</v>
      </c>
      <c r="L1">
        <f>Costs!L1</f>
        <v>10</v>
      </c>
      <c r="M1">
        <f>Costs!M1</f>
        <v>11</v>
      </c>
      <c r="N1">
        <f>Costs!N1</f>
        <v>12</v>
      </c>
      <c r="O1">
        <f>Costs!O1</f>
        <v>13</v>
      </c>
      <c r="P1">
        <f>Costs!P1</f>
        <v>14</v>
      </c>
      <c r="Q1">
        <f>Costs!Q1</f>
        <v>15</v>
      </c>
      <c r="R1">
        <f>Costs!R1</f>
        <v>16</v>
      </c>
      <c r="S1">
        <f>Costs!S1</f>
        <v>17</v>
      </c>
      <c r="T1">
        <f>Costs!T1</f>
        <v>18</v>
      </c>
      <c r="U1">
        <f>Costs!U1</f>
        <v>19</v>
      </c>
      <c r="V1">
        <f>Costs!V1</f>
        <v>20</v>
      </c>
      <c r="W1">
        <f>Costs!W1</f>
        <v>21</v>
      </c>
      <c r="X1">
        <f>Costs!X1</f>
        <v>22</v>
      </c>
      <c r="Y1">
        <f>Costs!Y1</f>
        <v>23</v>
      </c>
      <c r="Z1">
        <f>Costs!Z1</f>
        <v>24</v>
      </c>
      <c r="AA1">
        <f>Costs!AA1</f>
        <v>25</v>
      </c>
      <c r="AB1">
        <f>Costs!AB1</f>
        <v>26</v>
      </c>
      <c r="AC1">
        <f>Costs!AC1</f>
        <v>27</v>
      </c>
      <c r="AD1">
        <f>Costs!AD1</f>
        <v>28</v>
      </c>
      <c r="AE1">
        <f>Costs!AE1</f>
        <v>29</v>
      </c>
      <c r="AF1">
        <f>Costs!AF1</f>
        <v>30</v>
      </c>
      <c r="AG1">
        <f>Costs!AG1</f>
        <v>31</v>
      </c>
      <c r="AH1">
        <f>Costs!AH1</f>
        <v>32</v>
      </c>
      <c r="AI1">
        <f>Costs!AI1</f>
        <v>33</v>
      </c>
      <c r="AJ1">
        <f>Costs!AJ1</f>
        <v>34</v>
      </c>
      <c r="AK1">
        <f>Costs!AK1</f>
        <v>35</v>
      </c>
      <c r="AL1">
        <f>Costs!AL1</f>
        <v>36</v>
      </c>
    </row>
    <row r="2" spans="1:38" s="9" customFormat="1" x14ac:dyDescent="0.2">
      <c r="A2" s="11" t="s">
        <v>23</v>
      </c>
      <c r="B2" s="10">
        <v>0</v>
      </c>
      <c r="C2" s="10">
        <v>0.1</v>
      </c>
      <c r="D2" s="10">
        <v>0.25</v>
      </c>
      <c r="E2" s="10">
        <v>0.5</v>
      </c>
      <c r="F2" s="10">
        <v>0.75</v>
      </c>
      <c r="G2" s="10">
        <v>0.9</v>
      </c>
      <c r="H2" s="10">
        <v>1</v>
      </c>
      <c r="I2" s="10">
        <v>1</v>
      </c>
      <c r="J2" s="10">
        <v>1</v>
      </c>
      <c r="K2" s="10">
        <v>1</v>
      </c>
      <c r="L2" s="10">
        <v>1</v>
      </c>
      <c r="M2" s="10">
        <v>1</v>
      </c>
      <c r="N2" s="10">
        <v>1</v>
      </c>
      <c r="O2" s="10">
        <v>1</v>
      </c>
      <c r="P2" s="10">
        <v>1</v>
      </c>
      <c r="Q2" s="10">
        <v>1</v>
      </c>
      <c r="R2" s="10">
        <v>1</v>
      </c>
      <c r="S2" s="10">
        <v>1</v>
      </c>
      <c r="T2" s="10">
        <v>1</v>
      </c>
      <c r="U2" s="10">
        <v>1</v>
      </c>
      <c r="V2" s="10">
        <v>1</v>
      </c>
      <c r="W2" s="10">
        <v>1</v>
      </c>
      <c r="X2" s="10">
        <v>1</v>
      </c>
      <c r="Y2" s="10">
        <v>1</v>
      </c>
      <c r="Z2" s="10">
        <v>1</v>
      </c>
      <c r="AA2" s="10">
        <v>1</v>
      </c>
      <c r="AB2" s="10">
        <v>1</v>
      </c>
      <c r="AC2" s="10">
        <v>1</v>
      </c>
      <c r="AD2" s="10">
        <v>1</v>
      </c>
      <c r="AE2" s="10">
        <v>1</v>
      </c>
      <c r="AF2" s="10">
        <v>1</v>
      </c>
      <c r="AG2" s="10">
        <v>1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</row>
    <row r="3" spans="1:38" x14ac:dyDescent="0.2">
      <c r="A3" t="s">
        <v>24</v>
      </c>
      <c r="B3">
        <v>0</v>
      </c>
      <c r="C3">
        <f>Assumptions!$C$5 * C2</f>
        <v>20</v>
      </c>
      <c r="D3">
        <f>Assumptions!$C$5 * D2</f>
        <v>50</v>
      </c>
      <c r="E3">
        <f>Assumptions!$C$5 * E2</f>
        <v>100</v>
      </c>
      <c r="F3">
        <f>Assumptions!$C$5 * F2</f>
        <v>150</v>
      </c>
      <c r="G3">
        <f>Assumptions!$C$5 * G2</f>
        <v>180</v>
      </c>
      <c r="H3">
        <f>Assumptions!$C$5 * H2</f>
        <v>200</v>
      </c>
      <c r="I3">
        <f>Assumptions!$C$5 * I2</f>
        <v>200</v>
      </c>
      <c r="J3">
        <f>Assumptions!$C$5 * J2</f>
        <v>200</v>
      </c>
      <c r="K3">
        <f>Assumptions!$C$5 * K2</f>
        <v>200</v>
      </c>
      <c r="L3">
        <f>Assumptions!$C$5 * L2</f>
        <v>200</v>
      </c>
      <c r="M3">
        <f>Assumptions!$C$5 * M2</f>
        <v>200</v>
      </c>
      <c r="N3">
        <f>Assumptions!$C$5 * N2</f>
        <v>200</v>
      </c>
      <c r="O3">
        <f>Assumptions!$C$5 * O2</f>
        <v>200</v>
      </c>
      <c r="P3">
        <f>Assumptions!$C$5 * P2</f>
        <v>200</v>
      </c>
      <c r="Q3">
        <f>Assumptions!$C$5 * Q2</f>
        <v>200</v>
      </c>
      <c r="R3">
        <f>Assumptions!$C$5 * R2</f>
        <v>200</v>
      </c>
      <c r="S3">
        <f>Assumptions!$C$5 * S2</f>
        <v>200</v>
      </c>
      <c r="T3">
        <f>Assumptions!$C$5 * T2</f>
        <v>200</v>
      </c>
      <c r="U3">
        <f>Assumptions!$C$5 * U2</f>
        <v>200</v>
      </c>
      <c r="V3">
        <f>Assumptions!$C$5 * V2</f>
        <v>200</v>
      </c>
      <c r="W3">
        <f>Assumptions!$C$5 * W2</f>
        <v>200</v>
      </c>
      <c r="X3">
        <f>Assumptions!$C$5 * X2</f>
        <v>200</v>
      </c>
      <c r="Y3">
        <f>Assumptions!$C$5 * Y2</f>
        <v>200</v>
      </c>
      <c r="Z3">
        <f>Assumptions!$C$5 * Z2</f>
        <v>200</v>
      </c>
      <c r="AA3">
        <f>Assumptions!$C$5 * AA2</f>
        <v>200</v>
      </c>
      <c r="AB3">
        <f>Assumptions!$C$5 * AB2</f>
        <v>200</v>
      </c>
      <c r="AC3">
        <f>Assumptions!$C$5 * AC2</f>
        <v>200</v>
      </c>
      <c r="AD3">
        <f>Assumptions!$C$5 * AD2</f>
        <v>200</v>
      </c>
      <c r="AE3">
        <f>Assumptions!$C$5 * AE2</f>
        <v>200</v>
      </c>
      <c r="AF3">
        <f>Assumptions!$C$5 * AF2</f>
        <v>200</v>
      </c>
      <c r="AG3">
        <f>Assumptions!$C$5 * AG2</f>
        <v>200</v>
      </c>
      <c r="AH3">
        <f>Assumptions!$C$5 * AH2</f>
        <v>200</v>
      </c>
      <c r="AI3">
        <f>Assumptions!$C$5 * AI2</f>
        <v>200</v>
      </c>
      <c r="AJ3">
        <f>Assumptions!$C$5 * AJ2</f>
        <v>200</v>
      </c>
      <c r="AK3">
        <f>Assumptions!$C$5 * AK2</f>
        <v>200</v>
      </c>
      <c r="AL3">
        <f>Assumptions!$C$5 * AL2</f>
        <v>200</v>
      </c>
    </row>
    <row r="4" spans="1:38" x14ac:dyDescent="0.2">
      <c r="A4" t="s">
        <v>25</v>
      </c>
      <c r="B4">
        <v>0</v>
      </c>
      <c r="C4">
        <f xml:space="preserve"> C3*Assumptions!$C$7 * 4.33</f>
        <v>692.8</v>
      </c>
      <c r="D4">
        <f xml:space="preserve"> D3*Assumptions!$C$7 * 4.33</f>
        <v>1732</v>
      </c>
      <c r="E4">
        <f xml:space="preserve"> E3*Assumptions!$C$7 * 4.33</f>
        <v>3464</v>
      </c>
      <c r="F4">
        <f xml:space="preserve"> F3*Assumptions!$C$7 * 4.33</f>
        <v>5196</v>
      </c>
      <c r="G4">
        <f xml:space="preserve"> G3*Assumptions!$C$7 * 4.33</f>
        <v>6235.2</v>
      </c>
      <c r="H4">
        <f xml:space="preserve"> H3*Assumptions!$C$7 * 4.33</f>
        <v>6928</v>
      </c>
      <c r="I4">
        <f xml:space="preserve"> I3*Assumptions!$C$7 * 4.33</f>
        <v>6928</v>
      </c>
      <c r="J4">
        <f xml:space="preserve"> J3*Assumptions!$C$7 * 4.33</f>
        <v>6928</v>
      </c>
      <c r="K4">
        <f xml:space="preserve"> K3*Assumptions!$C$7 * 4.33</f>
        <v>6928</v>
      </c>
      <c r="L4">
        <f xml:space="preserve"> L3*Assumptions!$C$7 * 4.33</f>
        <v>6928</v>
      </c>
      <c r="M4">
        <f xml:space="preserve"> M3*Assumptions!$C$7 * 4.33</f>
        <v>6928</v>
      </c>
      <c r="N4">
        <f xml:space="preserve"> N3*Assumptions!$C$7 * 4.33</f>
        <v>6928</v>
      </c>
      <c r="O4">
        <f xml:space="preserve"> O3*Assumptions!$C$7 * 4.33</f>
        <v>6928</v>
      </c>
      <c r="P4">
        <f xml:space="preserve"> P3*Assumptions!$C$7 * 4.33</f>
        <v>6928</v>
      </c>
      <c r="Q4">
        <f xml:space="preserve"> Q3*Assumptions!$C$7 * 4.33</f>
        <v>6928</v>
      </c>
      <c r="R4">
        <f xml:space="preserve"> R3*Assumptions!$C$7 * 4.33</f>
        <v>6928</v>
      </c>
      <c r="S4">
        <f xml:space="preserve"> S3*Assumptions!$C$7 * 4.33</f>
        <v>6928</v>
      </c>
      <c r="T4">
        <f xml:space="preserve"> T3*Assumptions!$C$7 * 4.33</f>
        <v>6928</v>
      </c>
      <c r="U4">
        <f xml:space="preserve"> U3*Assumptions!$C$7 * 4.33</f>
        <v>6928</v>
      </c>
      <c r="V4">
        <f xml:space="preserve"> V3*Assumptions!$C$7 * 4.33</f>
        <v>6928</v>
      </c>
      <c r="W4">
        <f xml:space="preserve"> W3*Assumptions!$C$7 * 4.33</f>
        <v>6928</v>
      </c>
      <c r="X4">
        <f xml:space="preserve"> X3*Assumptions!$C$7 * 4.33</f>
        <v>6928</v>
      </c>
      <c r="Y4">
        <f xml:space="preserve"> Y3*Assumptions!$C$7 * 4.33</f>
        <v>6928</v>
      </c>
      <c r="Z4">
        <f xml:space="preserve"> Z3*Assumptions!$C$7 * 4.33</f>
        <v>6928</v>
      </c>
      <c r="AA4">
        <f xml:space="preserve"> AA3*Assumptions!$C$7 * 4.33</f>
        <v>6928</v>
      </c>
      <c r="AB4">
        <f xml:space="preserve"> AB3*Assumptions!$C$7 * 4.33</f>
        <v>6928</v>
      </c>
      <c r="AC4">
        <f xml:space="preserve"> AC3*Assumptions!$C$7 * 4.33</f>
        <v>6928</v>
      </c>
      <c r="AD4">
        <f xml:space="preserve"> AD3*Assumptions!$C$7 * 4.33</f>
        <v>6928</v>
      </c>
      <c r="AE4">
        <f xml:space="preserve"> AE3*Assumptions!$C$7 * 4.33</f>
        <v>6928</v>
      </c>
      <c r="AF4">
        <f xml:space="preserve"> AF3*Assumptions!$C$7 * 4.33</f>
        <v>6928</v>
      </c>
      <c r="AG4">
        <f xml:space="preserve"> AG3*Assumptions!$C$7 * 4.33</f>
        <v>6928</v>
      </c>
      <c r="AH4">
        <f xml:space="preserve"> AH3*Assumptions!$C$7 * 4.33</f>
        <v>6928</v>
      </c>
      <c r="AI4">
        <f xml:space="preserve"> AI3*Assumptions!$C$7 * 4.33</f>
        <v>6928</v>
      </c>
      <c r="AJ4">
        <f xml:space="preserve"> AJ3*Assumptions!$C$7 * 4.33</f>
        <v>6928</v>
      </c>
      <c r="AK4">
        <f xml:space="preserve"> AK3*Assumptions!$C$7 * 4.33</f>
        <v>6928</v>
      </c>
      <c r="AL4">
        <f xml:space="preserve"> AL3*Assumptions!$C$7 * 4.33</f>
        <v>6928</v>
      </c>
    </row>
    <row r="5" spans="1:38" x14ac:dyDescent="0.2">
      <c r="A5" t="s">
        <v>26</v>
      </c>
      <c r="B5">
        <v>0</v>
      </c>
      <c r="C5">
        <f>C4 * (Assumptions!$C$6 / 2080)</f>
        <v>28311.538461538457</v>
      </c>
      <c r="D5">
        <f>D4 * (Assumptions!$C$6 / 2080)</f>
        <v>70778.846153846156</v>
      </c>
      <c r="E5">
        <f>E4 * (Assumptions!$C$6 / 2080)</f>
        <v>141557.69230769231</v>
      </c>
      <c r="F5">
        <f>F4 * (Assumptions!$C$6 / 2080)</f>
        <v>212336.53846153844</v>
      </c>
      <c r="G5">
        <f>G4 * (Assumptions!$C$6 / 2080)</f>
        <v>254803.84615384613</v>
      </c>
      <c r="H5">
        <f>H4 * (Assumptions!$C$6 / 2080)</f>
        <v>283115.38461538462</v>
      </c>
      <c r="I5">
        <f>I4 * (Assumptions!$C$6 / 2080)</f>
        <v>283115.38461538462</v>
      </c>
      <c r="J5">
        <f>J4 * (Assumptions!$C$6 / 2080)</f>
        <v>283115.38461538462</v>
      </c>
      <c r="K5">
        <f>K4 * (Assumptions!$C$6 / 2080)</f>
        <v>283115.38461538462</v>
      </c>
      <c r="L5">
        <f>L4 * (Assumptions!$C$6 / 2080)</f>
        <v>283115.38461538462</v>
      </c>
      <c r="M5">
        <f>M4 * (Assumptions!$C$6 / 2080)</f>
        <v>283115.38461538462</v>
      </c>
      <c r="N5">
        <f>N4 * (Assumptions!$C$6 / 2080)</f>
        <v>283115.38461538462</v>
      </c>
      <c r="O5">
        <f>O4 * (Assumptions!$C$6 / 2080)</f>
        <v>283115.38461538462</v>
      </c>
      <c r="P5">
        <f>P4 * (Assumptions!$C$6 / 2080)</f>
        <v>283115.38461538462</v>
      </c>
      <c r="Q5">
        <f>Q4 * (Assumptions!$C$6 / 2080)</f>
        <v>283115.38461538462</v>
      </c>
      <c r="R5">
        <f>R4 * (Assumptions!$C$6 / 2080)</f>
        <v>283115.38461538462</v>
      </c>
      <c r="S5">
        <f>S4 * (Assumptions!$C$6 / 2080)</f>
        <v>283115.38461538462</v>
      </c>
      <c r="T5">
        <f>T4 * (Assumptions!$C$6 / 2080)</f>
        <v>283115.38461538462</v>
      </c>
      <c r="U5">
        <f>U4 * (Assumptions!$C$6 / 2080)</f>
        <v>283115.38461538462</v>
      </c>
      <c r="V5">
        <f>V4 * (Assumptions!$C$6 / 2080)</f>
        <v>283115.38461538462</v>
      </c>
      <c r="W5">
        <f>W4 * (Assumptions!$C$6 / 2080)</f>
        <v>283115.38461538462</v>
      </c>
      <c r="X5">
        <f>X4 * (Assumptions!$C$6 / 2080)</f>
        <v>283115.38461538462</v>
      </c>
      <c r="Y5">
        <f>Y4 * (Assumptions!$C$6 / 2080)</f>
        <v>283115.38461538462</v>
      </c>
      <c r="Z5">
        <f>Z4 * (Assumptions!$C$6 / 2080)</f>
        <v>283115.38461538462</v>
      </c>
      <c r="AA5">
        <f>AA4 * (Assumptions!$C$6 / 2080)</f>
        <v>283115.38461538462</v>
      </c>
      <c r="AB5">
        <f>AB4 * (Assumptions!$C$6 / 2080)</f>
        <v>283115.38461538462</v>
      </c>
      <c r="AC5">
        <f>AC4 * (Assumptions!$C$6 / 2080)</f>
        <v>283115.38461538462</v>
      </c>
      <c r="AD5">
        <f>AD4 * (Assumptions!$C$6 / 2080)</f>
        <v>283115.38461538462</v>
      </c>
      <c r="AE5">
        <f>AE4 * (Assumptions!$C$6 / 2080)</f>
        <v>283115.38461538462</v>
      </c>
      <c r="AF5">
        <f>AF4 * (Assumptions!$C$6 / 2080)</f>
        <v>283115.38461538462</v>
      </c>
      <c r="AG5">
        <f>AG4 * (Assumptions!$C$6 / 2080)</f>
        <v>283115.38461538462</v>
      </c>
      <c r="AH5">
        <f>AH4 * (Assumptions!$C$6 / 2080)</f>
        <v>283115.38461538462</v>
      </c>
      <c r="AI5">
        <f>AI4 * (Assumptions!$C$6 / 2080)</f>
        <v>283115.38461538462</v>
      </c>
      <c r="AJ5">
        <f>AJ4 * (Assumptions!$C$6 / 2080)</f>
        <v>283115.38461538462</v>
      </c>
      <c r="AK5">
        <f>AK4 * (Assumptions!$C$6 / 2080)</f>
        <v>283115.38461538462</v>
      </c>
      <c r="AL5">
        <f>AL4 * (Assumptions!$C$6 / 2080)</f>
        <v>283115.38461538462</v>
      </c>
    </row>
    <row r="7" spans="1:38" x14ac:dyDescent="0.2">
      <c r="A7" t="s">
        <v>27</v>
      </c>
      <c r="B7">
        <f>SUM(B5)</f>
        <v>0</v>
      </c>
      <c r="C7">
        <f t="shared" ref="C7:AL7" si="0">SUM(C5)</f>
        <v>28311.538461538457</v>
      </c>
      <c r="D7">
        <f t="shared" si="0"/>
        <v>70778.846153846156</v>
      </c>
      <c r="E7">
        <f t="shared" si="0"/>
        <v>141557.69230769231</v>
      </c>
      <c r="F7">
        <f t="shared" si="0"/>
        <v>212336.53846153844</v>
      </c>
      <c r="G7">
        <f t="shared" si="0"/>
        <v>254803.84615384613</v>
      </c>
      <c r="H7">
        <f t="shared" si="0"/>
        <v>283115.38461538462</v>
      </c>
      <c r="I7">
        <f t="shared" si="0"/>
        <v>283115.38461538462</v>
      </c>
      <c r="J7">
        <f t="shared" si="0"/>
        <v>283115.38461538462</v>
      </c>
      <c r="K7">
        <f t="shared" si="0"/>
        <v>283115.38461538462</v>
      </c>
      <c r="L7">
        <f t="shared" si="0"/>
        <v>283115.38461538462</v>
      </c>
      <c r="M7">
        <f t="shared" si="0"/>
        <v>283115.38461538462</v>
      </c>
      <c r="N7">
        <f t="shared" si="0"/>
        <v>283115.38461538462</v>
      </c>
      <c r="O7">
        <f t="shared" si="0"/>
        <v>283115.38461538462</v>
      </c>
      <c r="P7">
        <f t="shared" si="0"/>
        <v>283115.38461538462</v>
      </c>
      <c r="Q7">
        <f t="shared" si="0"/>
        <v>283115.38461538462</v>
      </c>
      <c r="R7">
        <f t="shared" si="0"/>
        <v>283115.38461538462</v>
      </c>
      <c r="S7">
        <f t="shared" si="0"/>
        <v>283115.38461538462</v>
      </c>
      <c r="T7">
        <f t="shared" si="0"/>
        <v>283115.38461538462</v>
      </c>
      <c r="U7">
        <f t="shared" si="0"/>
        <v>283115.38461538462</v>
      </c>
      <c r="V7">
        <f t="shared" si="0"/>
        <v>283115.38461538462</v>
      </c>
      <c r="W7">
        <f t="shared" si="0"/>
        <v>283115.38461538462</v>
      </c>
      <c r="X7">
        <f t="shared" si="0"/>
        <v>283115.38461538462</v>
      </c>
      <c r="Y7">
        <f t="shared" si="0"/>
        <v>283115.38461538462</v>
      </c>
      <c r="Z7">
        <f t="shared" si="0"/>
        <v>283115.38461538462</v>
      </c>
      <c r="AA7">
        <f t="shared" si="0"/>
        <v>283115.38461538462</v>
      </c>
      <c r="AB7">
        <f t="shared" si="0"/>
        <v>283115.38461538462</v>
      </c>
      <c r="AC7">
        <f t="shared" si="0"/>
        <v>283115.38461538462</v>
      </c>
      <c r="AD7">
        <f t="shared" si="0"/>
        <v>283115.38461538462</v>
      </c>
      <c r="AE7">
        <f t="shared" si="0"/>
        <v>283115.38461538462</v>
      </c>
      <c r="AF7">
        <f t="shared" si="0"/>
        <v>283115.38461538462</v>
      </c>
      <c r="AG7">
        <f t="shared" si="0"/>
        <v>283115.38461538462</v>
      </c>
      <c r="AH7">
        <f t="shared" si="0"/>
        <v>283115.38461538462</v>
      </c>
      <c r="AI7">
        <f t="shared" si="0"/>
        <v>283115.38461538462</v>
      </c>
      <c r="AJ7">
        <f t="shared" si="0"/>
        <v>283115.38461538462</v>
      </c>
      <c r="AK7">
        <f t="shared" si="0"/>
        <v>283115.38461538462</v>
      </c>
      <c r="AL7">
        <f t="shared" si="0"/>
        <v>283115.38461538462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ECD0-7B5D-5949-8379-3FB0947D1318}">
  <dimension ref="A2:AL14"/>
  <sheetViews>
    <sheetView zoomScale="180" zoomScaleNormal="100" workbookViewId="0">
      <selection activeCell="B6" sqref="B6"/>
    </sheetView>
  </sheetViews>
  <sheetFormatPr baseColWidth="10" defaultRowHeight="16" x14ac:dyDescent="0.2"/>
  <cols>
    <col min="1" max="1" width="20.33203125" bestFit="1" customWidth="1"/>
  </cols>
  <sheetData>
    <row r="2" spans="1:38" x14ac:dyDescent="0.2">
      <c r="A2" t="s">
        <v>32</v>
      </c>
      <c r="B2">
        <f>SUM(B11:AL11)</f>
        <v>308500</v>
      </c>
    </row>
    <row r="3" spans="1:38" x14ac:dyDescent="0.2">
      <c r="A3" t="s">
        <v>33</v>
      </c>
      <c r="B3">
        <f>SUM(B12:AL12)</f>
        <v>9484365.3846153878</v>
      </c>
    </row>
    <row r="4" spans="1:38" x14ac:dyDescent="0.2">
      <c r="A4" t="s">
        <v>34</v>
      </c>
      <c r="B4" s="12">
        <f>B3-B2</f>
        <v>9175865.3846153878</v>
      </c>
    </row>
    <row r="5" spans="1:38" x14ac:dyDescent="0.2">
      <c r="A5" t="s">
        <v>35</v>
      </c>
      <c r="B5">
        <v>3</v>
      </c>
    </row>
    <row r="10" spans="1:38" x14ac:dyDescent="0.2">
      <c r="A10" t="s">
        <v>18</v>
      </c>
      <c r="B10">
        <f>Costs!B1</f>
        <v>0</v>
      </c>
      <c r="C10">
        <f>Costs!C1</f>
        <v>1</v>
      </c>
      <c r="D10">
        <f>Costs!D1</f>
        <v>2</v>
      </c>
      <c r="E10">
        <f>Costs!E1</f>
        <v>3</v>
      </c>
      <c r="F10">
        <f>Costs!F1</f>
        <v>4</v>
      </c>
      <c r="G10">
        <f>Costs!G1</f>
        <v>5</v>
      </c>
      <c r="H10">
        <f>Costs!H1</f>
        <v>6</v>
      </c>
      <c r="I10">
        <f>Costs!I1</f>
        <v>7</v>
      </c>
      <c r="J10">
        <f>Costs!J1</f>
        <v>8</v>
      </c>
      <c r="K10">
        <f>Costs!K1</f>
        <v>9</v>
      </c>
      <c r="L10">
        <f>Costs!L1</f>
        <v>10</v>
      </c>
      <c r="M10">
        <f>Costs!M1</f>
        <v>11</v>
      </c>
      <c r="N10">
        <f>Costs!N1</f>
        <v>12</v>
      </c>
      <c r="O10">
        <f>Costs!O1</f>
        <v>13</v>
      </c>
      <c r="P10">
        <f>Costs!P1</f>
        <v>14</v>
      </c>
      <c r="Q10">
        <f>Costs!Q1</f>
        <v>15</v>
      </c>
      <c r="R10">
        <f>Costs!R1</f>
        <v>16</v>
      </c>
      <c r="S10">
        <f>Costs!S1</f>
        <v>17</v>
      </c>
      <c r="T10">
        <f>Costs!T1</f>
        <v>18</v>
      </c>
      <c r="U10">
        <f>Costs!U1</f>
        <v>19</v>
      </c>
      <c r="V10">
        <f>Costs!V1</f>
        <v>20</v>
      </c>
      <c r="W10">
        <f>Costs!W1</f>
        <v>21</v>
      </c>
      <c r="X10">
        <f>Costs!X1</f>
        <v>22</v>
      </c>
      <c r="Y10">
        <f>Costs!Y1</f>
        <v>23</v>
      </c>
      <c r="Z10">
        <f>Costs!Z1</f>
        <v>24</v>
      </c>
      <c r="AA10">
        <f>Costs!AA1</f>
        <v>25</v>
      </c>
      <c r="AB10">
        <f>Costs!AB1</f>
        <v>26</v>
      </c>
      <c r="AC10">
        <f>Costs!AC1</f>
        <v>27</v>
      </c>
      <c r="AD10">
        <f>Costs!AD1</f>
        <v>28</v>
      </c>
      <c r="AE10">
        <f>Costs!AE1</f>
        <v>29</v>
      </c>
      <c r="AF10">
        <f>Costs!AF1</f>
        <v>30</v>
      </c>
      <c r="AG10">
        <f>Costs!AG1</f>
        <v>31</v>
      </c>
      <c r="AH10">
        <f>Costs!AH1</f>
        <v>32</v>
      </c>
      <c r="AI10">
        <f>Costs!AI1</f>
        <v>33</v>
      </c>
      <c r="AJ10">
        <f>Costs!AJ1</f>
        <v>34</v>
      </c>
      <c r="AK10">
        <f>Costs!AK1</f>
        <v>35</v>
      </c>
      <c r="AL10">
        <f>Costs!AL1</f>
        <v>36</v>
      </c>
    </row>
    <row r="11" spans="1:38" x14ac:dyDescent="0.2">
      <c r="A11" t="s">
        <v>28</v>
      </c>
      <c r="B11">
        <f>Costs!B6</f>
        <v>92500</v>
      </c>
      <c r="C11">
        <f>Costs!C6</f>
        <v>6000</v>
      </c>
      <c r="D11">
        <f>Costs!D6</f>
        <v>6000</v>
      </c>
      <c r="E11">
        <f>Costs!E6</f>
        <v>6000</v>
      </c>
      <c r="F11">
        <f>Costs!F6</f>
        <v>6000</v>
      </c>
      <c r="G11">
        <f>Costs!G6</f>
        <v>6000</v>
      </c>
      <c r="H11">
        <f>Costs!H6</f>
        <v>6000</v>
      </c>
      <c r="I11">
        <f>Costs!I6</f>
        <v>6000</v>
      </c>
      <c r="J11">
        <f>Costs!J6</f>
        <v>6000</v>
      </c>
      <c r="K11">
        <f>Costs!K6</f>
        <v>6000</v>
      </c>
      <c r="L11">
        <f>Costs!L6</f>
        <v>6000</v>
      </c>
      <c r="M11">
        <f>Costs!M6</f>
        <v>6000</v>
      </c>
      <c r="N11">
        <f>Costs!N6</f>
        <v>6000</v>
      </c>
      <c r="O11">
        <f>Costs!O6</f>
        <v>6000</v>
      </c>
      <c r="P11">
        <f>Costs!P6</f>
        <v>6000</v>
      </c>
      <c r="Q11">
        <f>Costs!Q6</f>
        <v>6000</v>
      </c>
      <c r="R11">
        <f>Costs!R6</f>
        <v>6000</v>
      </c>
      <c r="S11">
        <f>Costs!S6</f>
        <v>6000</v>
      </c>
      <c r="T11">
        <f>Costs!T6</f>
        <v>6000</v>
      </c>
      <c r="U11">
        <f>Costs!U6</f>
        <v>6000</v>
      </c>
      <c r="V11">
        <f>Costs!V6</f>
        <v>6000</v>
      </c>
      <c r="W11">
        <f>Costs!W6</f>
        <v>6000</v>
      </c>
      <c r="X11">
        <f>Costs!X6</f>
        <v>6000</v>
      </c>
      <c r="Y11">
        <f>Costs!Y6</f>
        <v>6000</v>
      </c>
      <c r="Z11">
        <f>Costs!Z6</f>
        <v>6000</v>
      </c>
      <c r="AA11">
        <f>Costs!AA6</f>
        <v>6000</v>
      </c>
      <c r="AB11">
        <f>Costs!AB6</f>
        <v>6000</v>
      </c>
      <c r="AC11">
        <f>Costs!AC6</f>
        <v>6000</v>
      </c>
      <c r="AD11">
        <f>Costs!AD6</f>
        <v>6000</v>
      </c>
      <c r="AE11">
        <f>Costs!AE6</f>
        <v>6000</v>
      </c>
      <c r="AF11">
        <f>Costs!AF6</f>
        <v>6000</v>
      </c>
      <c r="AG11">
        <f>Costs!AG6</f>
        <v>6000</v>
      </c>
      <c r="AH11">
        <f>Costs!AH6</f>
        <v>6000</v>
      </c>
      <c r="AI11">
        <f>Costs!AI6</f>
        <v>6000</v>
      </c>
      <c r="AJ11">
        <f>Costs!AJ6</f>
        <v>6000</v>
      </c>
      <c r="AK11">
        <f>Costs!AK6</f>
        <v>6000</v>
      </c>
      <c r="AL11">
        <f>Costs!AL6</f>
        <v>6000</v>
      </c>
    </row>
    <row r="12" spans="1:38" x14ac:dyDescent="0.2">
      <c r="A12" t="s">
        <v>29</v>
      </c>
      <c r="B12">
        <f>Benefits!B7</f>
        <v>0</v>
      </c>
      <c r="C12">
        <f>Benefits!C7</f>
        <v>28311.538461538457</v>
      </c>
      <c r="D12">
        <f>Benefits!D7</f>
        <v>70778.846153846156</v>
      </c>
      <c r="E12">
        <f>Benefits!E7</f>
        <v>141557.69230769231</v>
      </c>
      <c r="F12">
        <f>Benefits!F7</f>
        <v>212336.53846153844</v>
      </c>
      <c r="G12">
        <f>Benefits!G7</f>
        <v>254803.84615384613</v>
      </c>
      <c r="H12">
        <f>Benefits!H7</f>
        <v>283115.38461538462</v>
      </c>
      <c r="I12">
        <f>Benefits!I7</f>
        <v>283115.38461538462</v>
      </c>
      <c r="J12">
        <f>Benefits!J7</f>
        <v>283115.38461538462</v>
      </c>
      <c r="K12">
        <f>Benefits!K7</f>
        <v>283115.38461538462</v>
      </c>
      <c r="L12">
        <f>Benefits!L7</f>
        <v>283115.38461538462</v>
      </c>
      <c r="M12">
        <f>Benefits!M7</f>
        <v>283115.38461538462</v>
      </c>
      <c r="N12">
        <f>Benefits!N7</f>
        <v>283115.38461538462</v>
      </c>
      <c r="O12">
        <f>Benefits!O7</f>
        <v>283115.38461538462</v>
      </c>
      <c r="P12">
        <f>Benefits!P7</f>
        <v>283115.38461538462</v>
      </c>
      <c r="Q12">
        <f>Benefits!Q7</f>
        <v>283115.38461538462</v>
      </c>
      <c r="R12">
        <f>Benefits!R7</f>
        <v>283115.38461538462</v>
      </c>
      <c r="S12">
        <f>Benefits!S7</f>
        <v>283115.38461538462</v>
      </c>
      <c r="T12">
        <f>Benefits!T7</f>
        <v>283115.38461538462</v>
      </c>
      <c r="U12">
        <f>Benefits!U7</f>
        <v>283115.38461538462</v>
      </c>
      <c r="V12">
        <f>Benefits!V7</f>
        <v>283115.38461538462</v>
      </c>
      <c r="W12">
        <f>Benefits!W7</f>
        <v>283115.38461538462</v>
      </c>
      <c r="X12">
        <f>Benefits!X7</f>
        <v>283115.38461538462</v>
      </c>
      <c r="Y12">
        <f>Benefits!Y7</f>
        <v>283115.38461538462</v>
      </c>
      <c r="Z12">
        <f>Benefits!Z7</f>
        <v>283115.38461538462</v>
      </c>
      <c r="AA12">
        <f>Benefits!AA7</f>
        <v>283115.38461538462</v>
      </c>
      <c r="AB12">
        <f>Benefits!AB7</f>
        <v>283115.38461538462</v>
      </c>
      <c r="AC12">
        <f>Benefits!AC7</f>
        <v>283115.38461538462</v>
      </c>
      <c r="AD12">
        <f>Benefits!AD7</f>
        <v>283115.38461538462</v>
      </c>
      <c r="AE12">
        <f>Benefits!AE7</f>
        <v>283115.38461538462</v>
      </c>
      <c r="AF12">
        <f>Benefits!AF7</f>
        <v>283115.38461538462</v>
      </c>
      <c r="AG12">
        <f>Benefits!AG7</f>
        <v>283115.38461538462</v>
      </c>
      <c r="AH12">
        <f>Benefits!AH7</f>
        <v>283115.38461538462</v>
      </c>
      <c r="AI12">
        <f>Benefits!AI7</f>
        <v>283115.38461538462</v>
      </c>
      <c r="AJ12">
        <f>Benefits!AJ7</f>
        <v>283115.38461538462</v>
      </c>
      <c r="AK12">
        <f>Benefits!AK7</f>
        <v>283115.38461538462</v>
      </c>
      <c r="AL12">
        <f>Benefits!AL7</f>
        <v>283115.38461538462</v>
      </c>
    </row>
    <row r="13" spans="1:38" x14ac:dyDescent="0.2">
      <c r="A13" t="s">
        <v>30</v>
      </c>
      <c r="B13">
        <f>B12-B11</f>
        <v>-92500</v>
      </c>
      <c r="C13">
        <f t="shared" ref="C13:AL13" si="0">C12-C11</f>
        <v>22311.538461538457</v>
      </c>
      <c r="D13">
        <f t="shared" si="0"/>
        <v>64778.846153846156</v>
      </c>
      <c r="E13">
        <f t="shared" si="0"/>
        <v>135557.69230769231</v>
      </c>
      <c r="F13">
        <f t="shared" si="0"/>
        <v>206336.53846153844</v>
      </c>
      <c r="G13">
        <f t="shared" si="0"/>
        <v>248803.84615384613</v>
      </c>
      <c r="H13">
        <f t="shared" si="0"/>
        <v>277115.38461538462</v>
      </c>
      <c r="I13">
        <f t="shared" si="0"/>
        <v>277115.38461538462</v>
      </c>
      <c r="J13">
        <f t="shared" si="0"/>
        <v>277115.38461538462</v>
      </c>
      <c r="K13">
        <f t="shared" si="0"/>
        <v>277115.38461538462</v>
      </c>
      <c r="L13">
        <f t="shared" si="0"/>
        <v>277115.38461538462</v>
      </c>
      <c r="M13">
        <f t="shared" si="0"/>
        <v>277115.38461538462</v>
      </c>
      <c r="N13">
        <f t="shared" si="0"/>
        <v>277115.38461538462</v>
      </c>
      <c r="O13">
        <f t="shared" si="0"/>
        <v>277115.38461538462</v>
      </c>
      <c r="P13">
        <f t="shared" si="0"/>
        <v>277115.38461538462</v>
      </c>
      <c r="Q13">
        <f t="shared" si="0"/>
        <v>277115.38461538462</v>
      </c>
      <c r="R13">
        <f t="shared" si="0"/>
        <v>277115.38461538462</v>
      </c>
      <c r="S13">
        <f t="shared" si="0"/>
        <v>277115.38461538462</v>
      </c>
      <c r="T13">
        <f t="shared" si="0"/>
        <v>277115.38461538462</v>
      </c>
      <c r="U13">
        <f t="shared" si="0"/>
        <v>277115.38461538462</v>
      </c>
      <c r="V13">
        <f t="shared" si="0"/>
        <v>277115.38461538462</v>
      </c>
      <c r="W13">
        <f t="shared" si="0"/>
        <v>277115.38461538462</v>
      </c>
      <c r="X13">
        <f t="shared" si="0"/>
        <v>277115.38461538462</v>
      </c>
      <c r="Y13">
        <f t="shared" si="0"/>
        <v>277115.38461538462</v>
      </c>
      <c r="Z13">
        <f t="shared" si="0"/>
        <v>277115.38461538462</v>
      </c>
      <c r="AA13">
        <f t="shared" si="0"/>
        <v>277115.38461538462</v>
      </c>
      <c r="AB13">
        <f t="shared" si="0"/>
        <v>277115.38461538462</v>
      </c>
      <c r="AC13">
        <f t="shared" si="0"/>
        <v>277115.38461538462</v>
      </c>
      <c r="AD13">
        <f t="shared" si="0"/>
        <v>277115.38461538462</v>
      </c>
      <c r="AE13">
        <f t="shared" si="0"/>
        <v>277115.38461538462</v>
      </c>
      <c r="AF13">
        <f t="shared" si="0"/>
        <v>277115.38461538462</v>
      </c>
      <c r="AG13">
        <f t="shared" si="0"/>
        <v>277115.38461538462</v>
      </c>
      <c r="AH13">
        <f t="shared" si="0"/>
        <v>277115.38461538462</v>
      </c>
      <c r="AI13">
        <f t="shared" si="0"/>
        <v>277115.38461538462</v>
      </c>
      <c r="AJ13">
        <f t="shared" si="0"/>
        <v>277115.38461538462</v>
      </c>
      <c r="AK13">
        <f t="shared" si="0"/>
        <v>277115.38461538462</v>
      </c>
      <c r="AL13">
        <f t="shared" si="0"/>
        <v>277115.38461538462</v>
      </c>
    </row>
    <row r="14" spans="1:38" x14ac:dyDescent="0.2">
      <c r="A14" t="s">
        <v>31</v>
      </c>
      <c r="B14">
        <f>B13</f>
        <v>-92500</v>
      </c>
      <c r="C14">
        <f>B14+C13</f>
        <v>-70188.461538461546</v>
      </c>
      <c r="D14">
        <f t="shared" ref="D14:AL14" si="1">C14+D13</f>
        <v>-5409.6153846153902</v>
      </c>
      <c r="E14">
        <f t="shared" si="1"/>
        <v>130148.07692307692</v>
      </c>
      <c r="F14">
        <f t="shared" si="1"/>
        <v>336484.61538461538</v>
      </c>
      <c r="G14">
        <f t="shared" si="1"/>
        <v>585288.4615384615</v>
      </c>
      <c r="H14">
        <f t="shared" si="1"/>
        <v>862403.84615384613</v>
      </c>
      <c r="I14">
        <f t="shared" si="1"/>
        <v>1139519.2307692308</v>
      </c>
      <c r="J14">
        <f t="shared" si="1"/>
        <v>1416634.6153846155</v>
      </c>
      <c r="K14">
        <f t="shared" si="1"/>
        <v>1693750</v>
      </c>
      <c r="L14">
        <f t="shared" si="1"/>
        <v>1970865.3846153845</v>
      </c>
      <c r="M14">
        <f t="shared" si="1"/>
        <v>2247980.769230769</v>
      </c>
      <c r="N14">
        <f t="shared" si="1"/>
        <v>2525096.1538461535</v>
      </c>
      <c r="O14">
        <f t="shared" si="1"/>
        <v>2802211.538461538</v>
      </c>
      <c r="P14">
        <f t="shared" si="1"/>
        <v>3079326.9230769225</v>
      </c>
      <c r="Q14">
        <f t="shared" si="1"/>
        <v>3356442.307692307</v>
      </c>
      <c r="R14">
        <f t="shared" si="1"/>
        <v>3633557.6923076916</v>
      </c>
      <c r="S14">
        <f t="shared" si="1"/>
        <v>3910673.0769230761</v>
      </c>
      <c r="T14">
        <f t="shared" si="1"/>
        <v>4187788.4615384606</v>
      </c>
      <c r="U14">
        <f t="shared" si="1"/>
        <v>4464903.8461538451</v>
      </c>
      <c r="V14">
        <f t="shared" si="1"/>
        <v>4742019.2307692301</v>
      </c>
      <c r="W14">
        <f t="shared" si="1"/>
        <v>5019134.615384615</v>
      </c>
      <c r="X14">
        <f t="shared" si="1"/>
        <v>5296250</v>
      </c>
      <c r="Y14">
        <f t="shared" si="1"/>
        <v>5573365.384615385</v>
      </c>
      <c r="Z14">
        <f t="shared" si="1"/>
        <v>5850480.7692307699</v>
      </c>
      <c r="AA14">
        <f t="shared" si="1"/>
        <v>6127596.1538461549</v>
      </c>
      <c r="AB14">
        <f t="shared" si="1"/>
        <v>6404711.5384615399</v>
      </c>
      <c r="AC14">
        <f t="shared" si="1"/>
        <v>6681826.9230769249</v>
      </c>
      <c r="AD14">
        <f t="shared" si="1"/>
        <v>6958942.3076923098</v>
      </c>
      <c r="AE14">
        <f t="shared" si="1"/>
        <v>7236057.6923076948</v>
      </c>
      <c r="AF14">
        <f t="shared" si="1"/>
        <v>7513173.0769230798</v>
      </c>
      <c r="AG14">
        <f t="shared" si="1"/>
        <v>7790288.4615384648</v>
      </c>
      <c r="AH14">
        <f t="shared" si="1"/>
        <v>8067403.8461538497</v>
      </c>
      <c r="AI14">
        <f t="shared" si="1"/>
        <v>8344519.2307692347</v>
      </c>
      <c r="AJ14">
        <f t="shared" si="1"/>
        <v>8621634.6153846197</v>
      </c>
      <c r="AK14">
        <f t="shared" si="1"/>
        <v>8898750.0000000037</v>
      </c>
      <c r="AL14">
        <f t="shared" si="1"/>
        <v>9175865.3846153878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6D43-31FE-1B4B-AB0E-5FF7BC3D761A}">
  <dimension ref="A1:D334"/>
  <sheetViews>
    <sheetView zoomScale="150" workbookViewId="0">
      <selection activeCell="F128" sqref="F128"/>
    </sheetView>
  </sheetViews>
  <sheetFormatPr baseColWidth="10" defaultRowHeight="16" x14ac:dyDescent="0.2"/>
  <cols>
    <col min="2" max="2" width="20.6640625" bestFit="1" customWidth="1"/>
  </cols>
  <sheetData>
    <row r="1" spans="1:4" x14ac:dyDescent="0.2">
      <c r="A1" t="s">
        <v>0</v>
      </c>
      <c r="B1" t="s">
        <v>36</v>
      </c>
      <c r="C1" t="s">
        <v>18</v>
      </c>
      <c r="D1" t="s">
        <v>37</v>
      </c>
    </row>
    <row r="2" spans="1:4" x14ac:dyDescent="0.2">
      <c r="A2" t="s">
        <v>75</v>
      </c>
      <c r="B2" s="15" t="s">
        <v>19</v>
      </c>
      <c r="C2" s="16" t="s">
        <v>38</v>
      </c>
      <c r="D2" s="13">
        <v>50000</v>
      </c>
    </row>
    <row r="3" spans="1:4" x14ac:dyDescent="0.2">
      <c r="A3" t="s">
        <v>75</v>
      </c>
      <c r="B3" s="17" t="s">
        <v>19</v>
      </c>
      <c r="C3" s="18" t="s">
        <v>39</v>
      </c>
      <c r="D3" s="14">
        <v>0</v>
      </c>
    </row>
    <row r="4" spans="1:4" x14ac:dyDescent="0.2">
      <c r="A4" t="s">
        <v>75</v>
      </c>
      <c r="B4" s="15" t="s">
        <v>19</v>
      </c>
      <c r="C4" s="16" t="s">
        <v>40</v>
      </c>
      <c r="D4" s="13">
        <v>0</v>
      </c>
    </row>
    <row r="5" spans="1:4" x14ac:dyDescent="0.2">
      <c r="A5" t="s">
        <v>75</v>
      </c>
      <c r="B5" s="17" t="s">
        <v>19</v>
      </c>
      <c r="C5" s="18" t="s">
        <v>41</v>
      </c>
      <c r="D5" s="14">
        <v>0</v>
      </c>
    </row>
    <row r="6" spans="1:4" x14ac:dyDescent="0.2">
      <c r="A6" t="s">
        <v>75</v>
      </c>
      <c r="B6" s="15" t="s">
        <v>19</v>
      </c>
      <c r="C6" s="16" t="s">
        <v>42</v>
      </c>
      <c r="D6" s="13">
        <v>0</v>
      </c>
    </row>
    <row r="7" spans="1:4" x14ac:dyDescent="0.2">
      <c r="A7" t="s">
        <v>75</v>
      </c>
      <c r="B7" s="17" t="s">
        <v>19</v>
      </c>
      <c r="C7" s="18" t="s">
        <v>43</v>
      </c>
      <c r="D7" s="14">
        <v>0</v>
      </c>
    </row>
    <row r="8" spans="1:4" x14ac:dyDescent="0.2">
      <c r="A8" t="s">
        <v>75</v>
      </c>
      <c r="B8" s="15" t="s">
        <v>19</v>
      </c>
      <c r="C8" s="16" t="s">
        <v>44</v>
      </c>
      <c r="D8" s="13">
        <v>0</v>
      </c>
    </row>
    <row r="9" spans="1:4" x14ac:dyDescent="0.2">
      <c r="A9" t="s">
        <v>75</v>
      </c>
      <c r="B9" s="17" t="s">
        <v>19</v>
      </c>
      <c r="C9" s="18" t="s">
        <v>45</v>
      </c>
      <c r="D9" s="14">
        <v>0</v>
      </c>
    </row>
    <row r="10" spans="1:4" x14ac:dyDescent="0.2">
      <c r="A10" t="s">
        <v>75</v>
      </c>
      <c r="B10" s="15" t="s">
        <v>19</v>
      </c>
      <c r="C10" s="16" t="s">
        <v>46</v>
      </c>
      <c r="D10" s="13">
        <v>0</v>
      </c>
    </row>
    <row r="11" spans="1:4" x14ac:dyDescent="0.2">
      <c r="A11" t="s">
        <v>75</v>
      </c>
      <c r="B11" s="17" t="s">
        <v>19</v>
      </c>
      <c r="C11" s="18" t="s">
        <v>47</v>
      </c>
      <c r="D11" s="14">
        <v>0</v>
      </c>
    </row>
    <row r="12" spans="1:4" x14ac:dyDescent="0.2">
      <c r="A12" t="s">
        <v>75</v>
      </c>
      <c r="B12" s="15" t="s">
        <v>19</v>
      </c>
      <c r="C12" s="16" t="s">
        <v>48</v>
      </c>
      <c r="D12" s="13">
        <v>0</v>
      </c>
    </row>
    <row r="13" spans="1:4" x14ac:dyDescent="0.2">
      <c r="A13" t="s">
        <v>75</v>
      </c>
      <c r="B13" s="17" t="s">
        <v>19</v>
      </c>
      <c r="C13" s="18" t="s">
        <v>49</v>
      </c>
      <c r="D13" s="14">
        <v>0</v>
      </c>
    </row>
    <row r="14" spans="1:4" x14ac:dyDescent="0.2">
      <c r="A14" t="s">
        <v>75</v>
      </c>
      <c r="B14" s="15" t="s">
        <v>19</v>
      </c>
      <c r="C14" s="16" t="s">
        <v>50</v>
      </c>
      <c r="D14" s="13">
        <v>0</v>
      </c>
    </row>
    <row r="15" spans="1:4" x14ac:dyDescent="0.2">
      <c r="A15" t="s">
        <v>75</v>
      </c>
      <c r="B15" s="17" t="s">
        <v>19</v>
      </c>
      <c r="C15" s="18" t="s">
        <v>51</v>
      </c>
      <c r="D15" s="14">
        <v>0</v>
      </c>
    </row>
    <row r="16" spans="1:4" x14ac:dyDescent="0.2">
      <c r="A16" t="s">
        <v>75</v>
      </c>
      <c r="B16" s="15" t="s">
        <v>19</v>
      </c>
      <c r="C16" s="16" t="s">
        <v>52</v>
      </c>
      <c r="D16" s="13">
        <v>0</v>
      </c>
    </row>
    <row r="17" spans="1:4" x14ac:dyDescent="0.2">
      <c r="A17" t="s">
        <v>75</v>
      </c>
      <c r="B17" s="17" t="s">
        <v>19</v>
      </c>
      <c r="C17" s="18" t="s">
        <v>53</v>
      </c>
      <c r="D17" s="14">
        <v>0</v>
      </c>
    </row>
    <row r="18" spans="1:4" x14ac:dyDescent="0.2">
      <c r="A18" t="s">
        <v>75</v>
      </c>
      <c r="B18" s="15" t="s">
        <v>19</v>
      </c>
      <c r="C18" s="16" t="s">
        <v>54</v>
      </c>
      <c r="D18" s="13">
        <v>0</v>
      </c>
    </row>
    <row r="19" spans="1:4" x14ac:dyDescent="0.2">
      <c r="A19" t="s">
        <v>75</v>
      </c>
      <c r="B19" s="17" t="s">
        <v>19</v>
      </c>
      <c r="C19" s="18" t="s">
        <v>55</v>
      </c>
      <c r="D19" s="14">
        <v>0</v>
      </c>
    </row>
    <row r="20" spans="1:4" x14ac:dyDescent="0.2">
      <c r="A20" t="s">
        <v>75</v>
      </c>
      <c r="B20" s="15" t="s">
        <v>19</v>
      </c>
      <c r="C20" s="16" t="s">
        <v>56</v>
      </c>
      <c r="D20" s="13">
        <v>0</v>
      </c>
    </row>
    <row r="21" spans="1:4" x14ac:dyDescent="0.2">
      <c r="A21" t="s">
        <v>75</v>
      </c>
      <c r="B21" s="17" t="s">
        <v>19</v>
      </c>
      <c r="C21" s="18" t="s">
        <v>57</v>
      </c>
      <c r="D21" s="14">
        <v>0</v>
      </c>
    </row>
    <row r="22" spans="1:4" x14ac:dyDescent="0.2">
      <c r="A22" t="s">
        <v>75</v>
      </c>
      <c r="B22" s="15" t="s">
        <v>19</v>
      </c>
      <c r="C22" s="16" t="s">
        <v>58</v>
      </c>
      <c r="D22" s="13">
        <v>0</v>
      </c>
    </row>
    <row r="23" spans="1:4" x14ac:dyDescent="0.2">
      <c r="A23" t="s">
        <v>75</v>
      </c>
      <c r="B23" s="17" t="s">
        <v>19</v>
      </c>
      <c r="C23" s="18" t="s">
        <v>59</v>
      </c>
      <c r="D23" s="14">
        <v>0</v>
      </c>
    </row>
    <row r="24" spans="1:4" x14ac:dyDescent="0.2">
      <c r="A24" t="s">
        <v>75</v>
      </c>
      <c r="B24" s="15" t="s">
        <v>19</v>
      </c>
      <c r="C24" s="16" t="s">
        <v>60</v>
      </c>
      <c r="D24" s="13">
        <v>0</v>
      </c>
    </row>
    <row r="25" spans="1:4" x14ac:dyDescent="0.2">
      <c r="A25" t="s">
        <v>75</v>
      </c>
      <c r="B25" s="17" t="s">
        <v>19</v>
      </c>
      <c r="C25" s="18" t="s">
        <v>61</v>
      </c>
      <c r="D25" s="14">
        <v>0</v>
      </c>
    </row>
    <row r="26" spans="1:4" x14ac:dyDescent="0.2">
      <c r="A26" t="s">
        <v>75</v>
      </c>
      <c r="B26" s="15" t="s">
        <v>19</v>
      </c>
      <c r="C26" s="16" t="s">
        <v>62</v>
      </c>
      <c r="D26" s="13">
        <v>0</v>
      </c>
    </row>
    <row r="27" spans="1:4" x14ac:dyDescent="0.2">
      <c r="A27" t="s">
        <v>75</v>
      </c>
      <c r="B27" s="17" t="s">
        <v>19</v>
      </c>
      <c r="C27" s="18" t="s">
        <v>63</v>
      </c>
      <c r="D27" s="14">
        <v>0</v>
      </c>
    </row>
    <row r="28" spans="1:4" x14ac:dyDescent="0.2">
      <c r="A28" t="s">
        <v>75</v>
      </c>
      <c r="B28" s="15" t="s">
        <v>19</v>
      </c>
      <c r="C28" s="16" t="s">
        <v>64</v>
      </c>
      <c r="D28" s="13">
        <v>0</v>
      </c>
    </row>
    <row r="29" spans="1:4" x14ac:dyDescent="0.2">
      <c r="A29" t="s">
        <v>75</v>
      </c>
      <c r="B29" s="17" t="s">
        <v>19</v>
      </c>
      <c r="C29" s="18" t="s">
        <v>65</v>
      </c>
      <c r="D29" s="14">
        <v>0</v>
      </c>
    </row>
    <row r="30" spans="1:4" x14ac:dyDescent="0.2">
      <c r="A30" t="s">
        <v>75</v>
      </c>
      <c r="B30" s="15" t="s">
        <v>19</v>
      </c>
      <c r="C30" s="16" t="s">
        <v>66</v>
      </c>
      <c r="D30" s="13">
        <v>0</v>
      </c>
    </row>
    <row r="31" spans="1:4" x14ac:dyDescent="0.2">
      <c r="A31" t="s">
        <v>75</v>
      </c>
      <c r="B31" s="17" t="s">
        <v>19</v>
      </c>
      <c r="C31" s="18" t="s">
        <v>67</v>
      </c>
      <c r="D31" s="14">
        <v>0</v>
      </c>
    </row>
    <row r="32" spans="1:4" x14ac:dyDescent="0.2">
      <c r="A32" t="s">
        <v>75</v>
      </c>
      <c r="B32" s="15" t="s">
        <v>19</v>
      </c>
      <c r="C32" s="16" t="s">
        <v>68</v>
      </c>
      <c r="D32" s="13">
        <v>0</v>
      </c>
    </row>
    <row r="33" spans="1:4" x14ac:dyDescent="0.2">
      <c r="A33" t="s">
        <v>75</v>
      </c>
      <c r="B33" s="17" t="s">
        <v>19</v>
      </c>
      <c r="C33" s="18" t="s">
        <v>69</v>
      </c>
      <c r="D33" s="14">
        <v>0</v>
      </c>
    </row>
    <row r="34" spans="1:4" x14ac:dyDescent="0.2">
      <c r="A34" t="s">
        <v>75</v>
      </c>
      <c r="B34" s="15" t="s">
        <v>19</v>
      </c>
      <c r="C34" s="16" t="s">
        <v>70</v>
      </c>
      <c r="D34" s="13">
        <v>0</v>
      </c>
    </row>
    <row r="35" spans="1:4" x14ac:dyDescent="0.2">
      <c r="A35" t="s">
        <v>75</v>
      </c>
      <c r="B35" s="17" t="s">
        <v>19</v>
      </c>
      <c r="C35" s="18" t="s">
        <v>71</v>
      </c>
      <c r="D35" s="14">
        <v>0</v>
      </c>
    </row>
    <row r="36" spans="1:4" x14ac:dyDescent="0.2">
      <c r="A36" t="s">
        <v>75</v>
      </c>
      <c r="B36" s="15" t="s">
        <v>19</v>
      </c>
      <c r="C36" s="16" t="s">
        <v>72</v>
      </c>
      <c r="D36" s="13">
        <v>0</v>
      </c>
    </row>
    <row r="37" spans="1:4" x14ac:dyDescent="0.2">
      <c r="A37" t="s">
        <v>75</v>
      </c>
      <c r="B37" s="17" t="s">
        <v>19</v>
      </c>
      <c r="C37" s="18" t="s">
        <v>73</v>
      </c>
      <c r="D37" s="14">
        <v>0</v>
      </c>
    </row>
    <row r="38" spans="1:4" x14ac:dyDescent="0.2">
      <c r="A38" t="s">
        <v>75</v>
      </c>
      <c r="B38" s="15" t="s">
        <v>19</v>
      </c>
      <c r="C38" s="16" t="s">
        <v>74</v>
      </c>
      <c r="D38" s="13">
        <v>0</v>
      </c>
    </row>
    <row r="39" spans="1:4" x14ac:dyDescent="0.2">
      <c r="A39" t="s">
        <v>75</v>
      </c>
      <c r="B39" s="17" t="s">
        <v>20</v>
      </c>
      <c r="C39" s="18" t="s">
        <v>38</v>
      </c>
      <c r="D39" s="14">
        <v>42500</v>
      </c>
    </row>
    <row r="40" spans="1:4" x14ac:dyDescent="0.2">
      <c r="A40" t="s">
        <v>75</v>
      </c>
      <c r="B40" s="15" t="s">
        <v>20</v>
      </c>
      <c r="C40" s="16" t="s">
        <v>39</v>
      </c>
      <c r="D40" s="13">
        <v>0</v>
      </c>
    </row>
    <row r="41" spans="1:4" x14ac:dyDescent="0.2">
      <c r="A41" t="s">
        <v>75</v>
      </c>
      <c r="B41" s="17" t="s">
        <v>20</v>
      </c>
      <c r="C41" s="18" t="s">
        <v>40</v>
      </c>
      <c r="D41" s="14">
        <v>0</v>
      </c>
    </row>
    <row r="42" spans="1:4" x14ac:dyDescent="0.2">
      <c r="A42" t="s">
        <v>75</v>
      </c>
      <c r="B42" s="15" t="s">
        <v>20</v>
      </c>
      <c r="C42" s="16" t="s">
        <v>41</v>
      </c>
      <c r="D42" s="13">
        <v>0</v>
      </c>
    </row>
    <row r="43" spans="1:4" x14ac:dyDescent="0.2">
      <c r="A43" t="s">
        <v>75</v>
      </c>
      <c r="B43" s="17" t="s">
        <v>20</v>
      </c>
      <c r="C43" s="18" t="s">
        <v>42</v>
      </c>
      <c r="D43" s="14">
        <v>0</v>
      </c>
    </row>
    <row r="44" spans="1:4" x14ac:dyDescent="0.2">
      <c r="A44" t="s">
        <v>75</v>
      </c>
      <c r="B44" s="15" t="s">
        <v>20</v>
      </c>
      <c r="C44" s="16" t="s">
        <v>43</v>
      </c>
      <c r="D44" s="13">
        <v>0</v>
      </c>
    </row>
    <row r="45" spans="1:4" x14ac:dyDescent="0.2">
      <c r="A45" t="s">
        <v>75</v>
      </c>
      <c r="B45" s="17" t="s">
        <v>20</v>
      </c>
      <c r="C45" s="18" t="s">
        <v>44</v>
      </c>
      <c r="D45" s="14">
        <v>0</v>
      </c>
    </row>
    <row r="46" spans="1:4" x14ac:dyDescent="0.2">
      <c r="A46" t="s">
        <v>75</v>
      </c>
      <c r="B46" s="15" t="s">
        <v>20</v>
      </c>
      <c r="C46" s="16" t="s">
        <v>45</v>
      </c>
      <c r="D46" s="13">
        <v>0</v>
      </c>
    </row>
    <row r="47" spans="1:4" x14ac:dyDescent="0.2">
      <c r="A47" t="s">
        <v>75</v>
      </c>
      <c r="B47" s="17" t="s">
        <v>20</v>
      </c>
      <c r="C47" s="18" t="s">
        <v>46</v>
      </c>
      <c r="D47" s="14">
        <v>0</v>
      </c>
    </row>
    <row r="48" spans="1:4" x14ac:dyDescent="0.2">
      <c r="A48" t="s">
        <v>75</v>
      </c>
      <c r="B48" s="15" t="s">
        <v>20</v>
      </c>
      <c r="C48" s="16" t="s">
        <v>47</v>
      </c>
      <c r="D48" s="13">
        <v>0</v>
      </c>
    </row>
    <row r="49" spans="1:4" x14ac:dyDescent="0.2">
      <c r="A49" t="s">
        <v>75</v>
      </c>
      <c r="B49" s="17" t="s">
        <v>20</v>
      </c>
      <c r="C49" s="18" t="s">
        <v>48</v>
      </c>
      <c r="D49" s="14">
        <v>0</v>
      </c>
    </row>
    <row r="50" spans="1:4" x14ac:dyDescent="0.2">
      <c r="A50" t="s">
        <v>75</v>
      </c>
      <c r="B50" s="15" t="s">
        <v>20</v>
      </c>
      <c r="C50" s="16" t="s">
        <v>49</v>
      </c>
      <c r="D50" s="13">
        <v>0</v>
      </c>
    </row>
    <row r="51" spans="1:4" x14ac:dyDescent="0.2">
      <c r="A51" t="s">
        <v>75</v>
      </c>
      <c r="B51" s="17" t="s">
        <v>20</v>
      </c>
      <c r="C51" s="18" t="s">
        <v>50</v>
      </c>
      <c r="D51" s="14">
        <v>0</v>
      </c>
    </row>
    <row r="52" spans="1:4" x14ac:dyDescent="0.2">
      <c r="A52" t="s">
        <v>75</v>
      </c>
      <c r="B52" s="15" t="s">
        <v>20</v>
      </c>
      <c r="C52" s="16" t="s">
        <v>51</v>
      </c>
      <c r="D52" s="13">
        <v>0</v>
      </c>
    </row>
    <row r="53" spans="1:4" x14ac:dyDescent="0.2">
      <c r="A53" t="s">
        <v>75</v>
      </c>
      <c r="B53" s="17" t="s">
        <v>20</v>
      </c>
      <c r="C53" s="18" t="s">
        <v>52</v>
      </c>
      <c r="D53" s="14">
        <v>0</v>
      </c>
    </row>
    <row r="54" spans="1:4" x14ac:dyDescent="0.2">
      <c r="A54" t="s">
        <v>75</v>
      </c>
      <c r="B54" s="15" t="s">
        <v>20</v>
      </c>
      <c r="C54" s="16" t="s">
        <v>53</v>
      </c>
      <c r="D54" s="13">
        <v>0</v>
      </c>
    </row>
    <row r="55" spans="1:4" x14ac:dyDescent="0.2">
      <c r="A55" t="s">
        <v>75</v>
      </c>
      <c r="B55" s="17" t="s">
        <v>20</v>
      </c>
      <c r="C55" s="18" t="s">
        <v>54</v>
      </c>
      <c r="D55" s="14">
        <v>0</v>
      </c>
    </row>
    <row r="56" spans="1:4" x14ac:dyDescent="0.2">
      <c r="A56" t="s">
        <v>75</v>
      </c>
      <c r="B56" s="15" t="s">
        <v>20</v>
      </c>
      <c r="C56" s="16" t="s">
        <v>55</v>
      </c>
      <c r="D56" s="13">
        <v>0</v>
      </c>
    </row>
    <row r="57" spans="1:4" x14ac:dyDescent="0.2">
      <c r="A57" t="s">
        <v>75</v>
      </c>
      <c r="B57" s="17" t="s">
        <v>20</v>
      </c>
      <c r="C57" s="18" t="s">
        <v>56</v>
      </c>
      <c r="D57" s="14">
        <v>0</v>
      </c>
    </row>
    <row r="58" spans="1:4" x14ac:dyDescent="0.2">
      <c r="A58" t="s">
        <v>75</v>
      </c>
      <c r="B58" s="15" t="s">
        <v>20</v>
      </c>
      <c r="C58" s="16" t="s">
        <v>57</v>
      </c>
      <c r="D58" s="13">
        <v>0</v>
      </c>
    </row>
    <row r="59" spans="1:4" x14ac:dyDescent="0.2">
      <c r="A59" t="s">
        <v>75</v>
      </c>
      <c r="B59" s="17" t="s">
        <v>20</v>
      </c>
      <c r="C59" s="18" t="s">
        <v>58</v>
      </c>
      <c r="D59" s="14">
        <v>0</v>
      </c>
    </row>
    <row r="60" spans="1:4" x14ac:dyDescent="0.2">
      <c r="A60" t="s">
        <v>75</v>
      </c>
      <c r="B60" s="15" t="s">
        <v>20</v>
      </c>
      <c r="C60" s="16" t="s">
        <v>59</v>
      </c>
      <c r="D60" s="13">
        <v>0</v>
      </c>
    </row>
    <row r="61" spans="1:4" x14ac:dyDescent="0.2">
      <c r="A61" t="s">
        <v>75</v>
      </c>
      <c r="B61" s="17" t="s">
        <v>20</v>
      </c>
      <c r="C61" s="18" t="s">
        <v>60</v>
      </c>
      <c r="D61" s="14">
        <v>0</v>
      </c>
    </row>
    <row r="62" spans="1:4" x14ac:dyDescent="0.2">
      <c r="A62" t="s">
        <v>75</v>
      </c>
      <c r="B62" s="15" t="s">
        <v>20</v>
      </c>
      <c r="C62" s="16" t="s">
        <v>61</v>
      </c>
      <c r="D62" s="13">
        <v>0</v>
      </c>
    </row>
    <row r="63" spans="1:4" x14ac:dyDescent="0.2">
      <c r="A63" t="s">
        <v>75</v>
      </c>
      <c r="B63" s="17" t="s">
        <v>20</v>
      </c>
      <c r="C63" s="18" t="s">
        <v>62</v>
      </c>
      <c r="D63" s="14">
        <v>0</v>
      </c>
    </row>
    <row r="64" spans="1:4" x14ac:dyDescent="0.2">
      <c r="A64" t="s">
        <v>75</v>
      </c>
      <c r="B64" s="15" t="s">
        <v>20</v>
      </c>
      <c r="C64" s="16" t="s">
        <v>63</v>
      </c>
      <c r="D64" s="13">
        <v>0</v>
      </c>
    </row>
    <row r="65" spans="1:4" x14ac:dyDescent="0.2">
      <c r="A65" t="s">
        <v>75</v>
      </c>
      <c r="B65" s="17" t="s">
        <v>20</v>
      </c>
      <c r="C65" s="18" t="s">
        <v>64</v>
      </c>
      <c r="D65" s="14">
        <v>0</v>
      </c>
    </row>
    <row r="66" spans="1:4" x14ac:dyDescent="0.2">
      <c r="A66" t="s">
        <v>75</v>
      </c>
      <c r="B66" s="15" t="s">
        <v>20</v>
      </c>
      <c r="C66" s="16" t="s">
        <v>65</v>
      </c>
      <c r="D66" s="13">
        <v>0</v>
      </c>
    </row>
    <row r="67" spans="1:4" x14ac:dyDescent="0.2">
      <c r="A67" t="s">
        <v>75</v>
      </c>
      <c r="B67" s="17" t="s">
        <v>20</v>
      </c>
      <c r="C67" s="18" t="s">
        <v>66</v>
      </c>
      <c r="D67" s="14">
        <v>0</v>
      </c>
    </row>
    <row r="68" spans="1:4" x14ac:dyDescent="0.2">
      <c r="A68" t="s">
        <v>75</v>
      </c>
      <c r="B68" s="15" t="s">
        <v>20</v>
      </c>
      <c r="C68" s="16" t="s">
        <v>67</v>
      </c>
      <c r="D68" s="13">
        <v>0</v>
      </c>
    </row>
    <row r="69" spans="1:4" x14ac:dyDescent="0.2">
      <c r="A69" t="s">
        <v>75</v>
      </c>
      <c r="B69" s="17" t="s">
        <v>20</v>
      </c>
      <c r="C69" s="18" t="s">
        <v>68</v>
      </c>
      <c r="D69" s="14">
        <v>0</v>
      </c>
    </row>
    <row r="70" spans="1:4" x14ac:dyDescent="0.2">
      <c r="A70" t="s">
        <v>75</v>
      </c>
      <c r="B70" s="15" t="s">
        <v>20</v>
      </c>
      <c r="C70" s="16" t="s">
        <v>69</v>
      </c>
      <c r="D70" s="13">
        <v>0</v>
      </c>
    </row>
    <row r="71" spans="1:4" x14ac:dyDescent="0.2">
      <c r="A71" t="s">
        <v>75</v>
      </c>
      <c r="B71" s="17" t="s">
        <v>20</v>
      </c>
      <c r="C71" s="18" t="s">
        <v>70</v>
      </c>
      <c r="D71" s="14">
        <v>0</v>
      </c>
    </row>
    <row r="72" spans="1:4" x14ac:dyDescent="0.2">
      <c r="A72" t="s">
        <v>75</v>
      </c>
      <c r="B72" s="15" t="s">
        <v>20</v>
      </c>
      <c r="C72" s="16" t="s">
        <v>71</v>
      </c>
      <c r="D72" s="13">
        <v>0</v>
      </c>
    </row>
    <row r="73" spans="1:4" x14ac:dyDescent="0.2">
      <c r="A73" t="s">
        <v>75</v>
      </c>
      <c r="B73" s="17" t="s">
        <v>20</v>
      </c>
      <c r="C73" s="18" t="s">
        <v>72</v>
      </c>
      <c r="D73" s="14">
        <v>0</v>
      </c>
    </row>
    <row r="74" spans="1:4" x14ac:dyDescent="0.2">
      <c r="A74" t="s">
        <v>75</v>
      </c>
      <c r="B74" s="15" t="s">
        <v>20</v>
      </c>
      <c r="C74" s="16" t="s">
        <v>73</v>
      </c>
      <c r="D74" s="13">
        <v>0</v>
      </c>
    </row>
    <row r="75" spans="1:4" x14ac:dyDescent="0.2">
      <c r="A75" t="s">
        <v>75</v>
      </c>
      <c r="B75" s="17" t="s">
        <v>20</v>
      </c>
      <c r="C75" s="18" t="s">
        <v>74</v>
      </c>
      <c r="D75" s="14">
        <v>0</v>
      </c>
    </row>
    <row r="76" spans="1:4" x14ac:dyDescent="0.2">
      <c r="A76" t="s">
        <v>75</v>
      </c>
      <c r="B76" s="15" t="s">
        <v>21</v>
      </c>
      <c r="C76" s="16" t="s">
        <v>38</v>
      </c>
      <c r="D76" s="13">
        <v>0</v>
      </c>
    </row>
    <row r="77" spans="1:4" x14ac:dyDescent="0.2">
      <c r="A77" t="s">
        <v>75</v>
      </c>
      <c r="B77" s="17" t="s">
        <v>21</v>
      </c>
      <c r="C77" s="18" t="s">
        <v>39</v>
      </c>
      <c r="D77" s="14">
        <v>6000</v>
      </c>
    </row>
    <row r="78" spans="1:4" x14ac:dyDescent="0.2">
      <c r="A78" t="s">
        <v>75</v>
      </c>
      <c r="B78" s="15" t="s">
        <v>21</v>
      </c>
      <c r="C78" s="16" t="s">
        <v>40</v>
      </c>
      <c r="D78" s="13">
        <v>6000</v>
      </c>
    </row>
    <row r="79" spans="1:4" x14ac:dyDescent="0.2">
      <c r="A79" t="s">
        <v>75</v>
      </c>
      <c r="B79" s="17" t="s">
        <v>21</v>
      </c>
      <c r="C79" s="18" t="s">
        <v>41</v>
      </c>
      <c r="D79" s="14">
        <v>6000</v>
      </c>
    </row>
    <row r="80" spans="1:4" x14ac:dyDescent="0.2">
      <c r="A80" t="s">
        <v>75</v>
      </c>
      <c r="B80" s="15" t="s">
        <v>21</v>
      </c>
      <c r="C80" s="16" t="s">
        <v>42</v>
      </c>
      <c r="D80" s="13">
        <v>6000</v>
      </c>
    </row>
    <row r="81" spans="1:4" x14ac:dyDescent="0.2">
      <c r="A81" t="s">
        <v>75</v>
      </c>
      <c r="B81" s="17" t="s">
        <v>21</v>
      </c>
      <c r="C81" s="18" t="s">
        <v>43</v>
      </c>
      <c r="D81" s="14">
        <v>6000</v>
      </c>
    </row>
    <row r="82" spans="1:4" x14ac:dyDescent="0.2">
      <c r="A82" t="s">
        <v>75</v>
      </c>
      <c r="B82" s="15" t="s">
        <v>21</v>
      </c>
      <c r="C82" s="16" t="s">
        <v>44</v>
      </c>
      <c r="D82" s="13">
        <v>6000</v>
      </c>
    </row>
    <row r="83" spans="1:4" x14ac:dyDescent="0.2">
      <c r="A83" t="s">
        <v>75</v>
      </c>
      <c r="B83" s="17" t="s">
        <v>21</v>
      </c>
      <c r="C83" s="18" t="s">
        <v>45</v>
      </c>
      <c r="D83" s="14">
        <v>6000</v>
      </c>
    </row>
    <row r="84" spans="1:4" x14ac:dyDescent="0.2">
      <c r="A84" t="s">
        <v>75</v>
      </c>
      <c r="B84" s="15" t="s">
        <v>21</v>
      </c>
      <c r="C84" s="16" t="s">
        <v>46</v>
      </c>
      <c r="D84" s="13">
        <v>6000</v>
      </c>
    </row>
    <row r="85" spans="1:4" x14ac:dyDescent="0.2">
      <c r="A85" t="s">
        <v>75</v>
      </c>
      <c r="B85" s="17" t="s">
        <v>21</v>
      </c>
      <c r="C85" s="18" t="s">
        <v>47</v>
      </c>
      <c r="D85" s="14">
        <v>6000</v>
      </c>
    </row>
    <row r="86" spans="1:4" x14ac:dyDescent="0.2">
      <c r="A86" t="s">
        <v>75</v>
      </c>
      <c r="B86" s="15" t="s">
        <v>21</v>
      </c>
      <c r="C86" s="16" t="s">
        <v>48</v>
      </c>
      <c r="D86" s="13">
        <v>6000</v>
      </c>
    </row>
    <row r="87" spans="1:4" x14ac:dyDescent="0.2">
      <c r="A87" t="s">
        <v>75</v>
      </c>
      <c r="B87" s="17" t="s">
        <v>21</v>
      </c>
      <c r="C87" s="18" t="s">
        <v>49</v>
      </c>
      <c r="D87" s="14">
        <v>6000</v>
      </c>
    </row>
    <row r="88" spans="1:4" x14ac:dyDescent="0.2">
      <c r="A88" t="s">
        <v>75</v>
      </c>
      <c r="B88" s="15" t="s">
        <v>21</v>
      </c>
      <c r="C88" s="16" t="s">
        <v>50</v>
      </c>
      <c r="D88" s="13">
        <v>6000</v>
      </c>
    </row>
    <row r="89" spans="1:4" x14ac:dyDescent="0.2">
      <c r="A89" t="s">
        <v>75</v>
      </c>
      <c r="B89" s="17" t="s">
        <v>21</v>
      </c>
      <c r="C89" s="18" t="s">
        <v>51</v>
      </c>
      <c r="D89" s="14">
        <v>6000</v>
      </c>
    </row>
    <row r="90" spans="1:4" x14ac:dyDescent="0.2">
      <c r="A90" t="s">
        <v>75</v>
      </c>
      <c r="B90" s="15" t="s">
        <v>21</v>
      </c>
      <c r="C90" s="16" t="s">
        <v>52</v>
      </c>
      <c r="D90" s="13">
        <v>6000</v>
      </c>
    </row>
    <row r="91" spans="1:4" x14ac:dyDescent="0.2">
      <c r="A91" t="s">
        <v>75</v>
      </c>
      <c r="B91" s="17" t="s">
        <v>21</v>
      </c>
      <c r="C91" s="18" t="s">
        <v>53</v>
      </c>
      <c r="D91" s="14">
        <v>6000</v>
      </c>
    </row>
    <row r="92" spans="1:4" x14ac:dyDescent="0.2">
      <c r="A92" t="s">
        <v>75</v>
      </c>
      <c r="B92" s="15" t="s">
        <v>21</v>
      </c>
      <c r="C92" s="16" t="s">
        <v>54</v>
      </c>
      <c r="D92" s="13">
        <v>6000</v>
      </c>
    </row>
    <row r="93" spans="1:4" x14ac:dyDescent="0.2">
      <c r="A93" t="s">
        <v>75</v>
      </c>
      <c r="B93" s="17" t="s">
        <v>21</v>
      </c>
      <c r="C93" s="18" t="s">
        <v>55</v>
      </c>
      <c r="D93" s="14">
        <v>6000</v>
      </c>
    </row>
    <row r="94" spans="1:4" x14ac:dyDescent="0.2">
      <c r="A94" t="s">
        <v>75</v>
      </c>
      <c r="B94" s="15" t="s">
        <v>21</v>
      </c>
      <c r="C94" s="16" t="s">
        <v>56</v>
      </c>
      <c r="D94" s="13">
        <v>6000</v>
      </c>
    </row>
    <row r="95" spans="1:4" x14ac:dyDescent="0.2">
      <c r="A95" t="s">
        <v>75</v>
      </c>
      <c r="B95" s="17" t="s">
        <v>21</v>
      </c>
      <c r="C95" s="18" t="s">
        <v>57</v>
      </c>
      <c r="D95" s="14">
        <v>6000</v>
      </c>
    </row>
    <row r="96" spans="1:4" x14ac:dyDescent="0.2">
      <c r="A96" t="s">
        <v>75</v>
      </c>
      <c r="B96" s="15" t="s">
        <v>21</v>
      </c>
      <c r="C96" s="16" t="s">
        <v>58</v>
      </c>
      <c r="D96" s="13">
        <v>6000</v>
      </c>
    </row>
    <row r="97" spans="1:4" x14ac:dyDescent="0.2">
      <c r="A97" t="s">
        <v>75</v>
      </c>
      <c r="B97" s="17" t="s">
        <v>21</v>
      </c>
      <c r="C97" s="18" t="s">
        <v>59</v>
      </c>
      <c r="D97" s="14">
        <v>6000</v>
      </c>
    </row>
    <row r="98" spans="1:4" x14ac:dyDescent="0.2">
      <c r="A98" t="s">
        <v>75</v>
      </c>
      <c r="B98" s="15" t="s">
        <v>21</v>
      </c>
      <c r="C98" s="16" t="s">
        <v>60</v>
      </c>
      <c r="D98" s="13">
        <v>6000</v>
      </c>
    </row>
    <row r="99" spans="1:4" x14ac:dyDescent="0.2">
      <c r="A99" t="s">
        <v>75</v>
      </c>
      <c r="B99" s="17" t="s">
        <v>21</v>
      </c>
      <c r="C99" s="18" t="s">
        <v>61</v>
      </c>
      <c r="D99" s="14">
        <v>6000</v>
      </c>
    </row>
    <row r="100" spans="1:4" x14ac:dyDescent="0.2">
      <c r="A100" t="s">
        <v>75</v>
      </c>
      <c r="B100" s="15" t="s">
        <v>21</v>
      </c>
      <c r="C100" s="16" t="s">
        <v>62</v>
      </c>
      <c r="D100" s="13">
        <v>6000</v>
      </c>
    </row>
    <row r="101" spans="1:4" x14ac:dyDescent="0.2">
      <c r="A101" t="s">
        <v>75</v>
      </c>
      <c r="B101" s="17" t="s">
        <v>21</v>
      </c>
      <c r="C101" s="18" t="s">
        <v>63</v>
      </c>
      <c r="D101" s="14">
        <v>6000</v>
      </c>
    </row>
    <row r="102" spans="1:4" x14ac:dyDescent="0.2">
      <c r="A102" t="s">
        <v>75</v>
      </c>
      <c r="B102" s="15" t="s">
        <v>21</v>
      </c>
      <c r="C102" s="16" t="s">
        <v>64</v>
      </c>
      <c r="D102" s="13">
        <v>6000</v>
      </c>
    </row>
    <row r="103" spans="1:4" x14ac:dyDescent="0.2">
      <c r="A103" t="s">
        <v>75</v>
      </c>
      <c r="B103" s="17" t="s">
        <v>21</v>
      </c>
      <c r="C103" s="18" t="s">
        <v>65</v>
      </c>
      <c r="D103" s="14">
        <v>6000</v>
      </c>
    </row>
    <row r="104" spans="1:4" x14ac:dyDescent="0.2">
      <c r="A104" t="s">
        <v>75</v>
      </c>
      <c r="B104" s="15" t="s">
        <v>21</v>
      </c>
      <c r="C104" s="16" t="s">
        <v>66</v>
      </c>
      <c r="D104" s="13">
        <v>6000</v>
      </c>
    </row>
    <row r="105" spans="1:4" x14ac:dyDescent="0.2">
      <c r="A105" t="s">
        <v>75</v>
      </c>
      <c r="B105" s="17" t="s">
        <v>21</v>
      </c>
      <c r="C105" s="18" t="s">
        <v>67</v>
      </c>
      <c r="D105" s="14">
        <v>6000</v>
      </c>
    </row>
    <row r="106" spans="1:4" x14ac:dyDescent="0.2">
      <c r="A106" t="s">
        <v>75</v>
      </c>
      <c r="B106" s="15" t="s">
        <v>21</v>
      </c>
      <c r="C106" s="16" t="s">
        <v>68</v>
      </c>
      <c r="D106" s="13">
        <v>6000</v>
      </c>
    </row>
    <row r="107" spans="1:4" x14ac:dyDescent="0.2">
      <c r="A107" t="s">
        <v>75</v>
      </c>
      <c r="B107" s="17" t="s">
        <v>21</v>
      </c>
      <c r="C107" s="18" t="s">
        <v>69</v>
      </c>
      <c r="D107" s="14">
        <v>6000</v>
      </c>
    </row>
    <row r="108" spans="1:4" x14ac:dyDescent="0.2">
      <c r="A108" t="s">
        <v>75</v>
      </c>
      <c r="B108" s="15" t="s">
        <v>21</v>
      </c>
      <c r="C108" s="16" t="s">
        <v>70</v>
      </c>
      <c r="D108" s="13">
        <v>6000</v>
      </c>
    </row>
    <row r="109" spans="1:4" x14ac:dyDescent="0.2">
      <c r="A109" t="s">
        <v>75</v>
      </c>
      <c r="B109" s="17" t="s">
        <v>21</v>
      </c>
      <c r="C109" s="18" t="s">
        <v>71</v>
      </c>
      <c r="D109" s="14">
        <v>6000</v>
      </c>
    </row>
    <row r="110" spans="1:4" x14ac:dyDescent="0.2">
      <c r="A110" t="s">
        <v>75</v>
      </c>
      <c r="B110" s="15" t="s">
        <v>21</v>
      </c>
      <c r="C110" s="16" t="s">
        <v>72</v>
      </c>
      <c r="D110" s="13">
        <v>6000</v>
      </c>
    </row>
    <row r="111" spans="1:4" x14ac:dyDescent="0.2">
      <c r="A111" t="s">
        <v>75</v>
      </c>
      <c r="B111" s="17" t="s">
        <v>21</v>
      </c>
      <c r="C111" s="18" t="s">
        <v>73</v>
      </c>
      <c r="D111" s="14">
        <v>6000</v>
      </c>
    </row>
    <row r="112" spans="1:4" x14ac:dyDescent="0.2">
      <c r="A112" t="s">
        <v>75</v>
      </c>
      <c r="B112" s="15" t="s">
        <v>21</v>
      </c>
      <c r="C112" s="16" t="s">
        <v>74</v>
      </c>
      <c r="D112" s="13">
        <v>6000</v>
      </c>
    </row>
    <row r="113" spans="1:4" x14ac:dyDescent="0.2">
      <c r="A113" t="s">
        <v>75</v>
      </c>
      <c r="B113" s="17" t="s">
        <v>22</v>
      </c>
      <c r="C113" s="18" t="s">
        <v>38</v>
      </c>
      <c r="D113" s="14">
        <v>92500</v>
      </c>
    </row>
    <row r="114" spans="1:4" x14ac:dyDescent="0.2">
      <c r="A114" t="s">
        <v>75</v>
      </c>
      <c r="B114" s="15" t="s">
        <v>22</v>
      </c>
      <c r="C114" s="16" t="s">
        <v>39</v>
      </c>
      <c r="D114" s="13">
        <v>6000</v>
      </c>
    </row>
    <row r="115" spans="1:4" x14ac:dyDescent="0.2">
      <c r="A115" t="s">
        <v>75</v>
      </c>
      <c r="B115" s="17" t="s">
        <v>22</v>
      </c>
      <c r="C115" s="18" t="s">
        <v>40</v>
      </c>
      <c r="D115" s="14">
        <v>6000</v>
      </c>
    </row>
    <row r="116" spans="1:4" x14ac:dyDescent="0.2">
      <c r="A116" t="s">
        <v>75</v>
      </c>
      <c r="B116" s="15" t="s">
        <v>22</v>
      </c>
      <c r="C116" s="16" t="s">
        <v>41</v>
      </c>
      <c r="D116" s="13">
        <v>6000</v>
      </c>
    </row>
    <row r="117" spans="1:4" x14ac:dyDescent="0.2">
      <c r="A117" t="s">
        <v>75</v>
      </c>
      <c r="B117" s="17" t="s">
        <v>22</v>
      </c>
      <c r="C117" s="18" t="s">
        <v>42</v>
      </c>
      <c r="D117" s="14">
        <v>6000</v>
      </c>
    </row>
    <row r="118" spans="1:4" x14ac:dyDescent="0.2">
      <c r="A118" t="s">
        <v>75</v>
      </c>
      <c r="B118" s="15" t="s">
        <v>22</v>
      </c>
      <c r="C118" s="16" t="s">
        <v>43</v>
      </c>
      <c r="D118" s="13">
        <v>6000</v>
      </c>
    </row>
    <row r="119" spans="1:4" x14ac:dyDescent="0.2">
      <c r="A119" t="s">
        <v>75</v>
      </c>
      <c r="B119" s="17" t="s">
        <v>22</v>
      </c>
      <c r="C119" s="18" t="s">
        <v>44</v>
      </c>
      <c r="D119" s="14">
        <v>6000</v>
      </c>
    </row>
    <row r="120" spans="1:4" x14ac:dyDescent="0.2">
      <c r="A120" t="s">
        <v>75</v>
      </c>
      <c r="B120" s="15" t="s">
        <v>22</v>
      </c>
      <c r="C120" s="16" t="s">
        <v>45</v>
      </c>
      <c r="D120" s="13">
        <v>6000</v>
      </c>
    </row>
    <row r="121" spans="1:4" x14ac:dyDescent="0.2">
      <c r="A121" t="s">
        <v>75</v>
      </c>
      <c r="B121" s="17" t="s">
        <v>22</v>
      </c>
      <c r="C121" s="18" t="s">
        <v>46</v>
      </c>
      <c r="D121" s="14">
        <v>6000</v>
      </c>
    </row>
    <row r="122" spans="1:4" x14ac:dyDescent="0.2">
      <c r="A122" t="s">
        <v>75</v>
      </c>
      <c r="B122" s="15" t="s">
        <v>22</v>
      </c>
      <c r="C122" s="16" t="s">
        <v>47</v>
      </c>
      <c r="D122" s="13">
        <v>6000</v>
      </c>
    </row>
    <row r="123" spans="1:4" x14ac:dyDescent="0.2">
      <c r="A123" t="s">
        <v>75</v>
      </c>
      <c r="B123" s="17" t="s">
        <v>22</v>
      </c>
      <c r="C123" s="18" t="s">
        <v>48</v>
      </c>
      <c r="D123" s="14">
        <v>6000</v>
      </c>
    </row>
    <row r="124" spans="1:4" x14ac:dyDescent="0.2">
      <c r="A124" t="s">
        <v>75</v>
      </c>
      <c r="B124" s="15" t="s">
        <v>22</v>
      </c>
      <c r="C124" s="16" t="s">
        <v>49</v>
      </c>
      <c r="D124" s="13">
        <v>6000</v>
      </c>
    </row>
    <row r="125" spans="1:4" x14ac:dyDescent="0.2">
      <c r="A125" t="s">
        <v>75</v>
      </c>
      <c r="B125" s="17" t="s">
        <v>22</v>
      </c>
      <c r="C125" s="18" t="s">
        <v>50</v>
      </c>
      <c r="D125" s="14">
        <v>6000</v>
      </c>
    </row>
    <row r="126" spans="1:4" x14ac:dyDescent="0.2">
      <c r="A126" t="s">
        <v>75</v>
      </c>
      <c r="B126" s="15" t="s">
        <v>22</v>
      </c>
      <c r="C126" s="16" t="s">
        <v>51</v>
      </c>
      <c r="D126" s="13">
        <v>6000</v>
      </c>
    </row>
    <row r="127" spans="1:4" x14ac:dyDescent="0.2">
      <c r="A127" t="s">
        <v>75</v>
      </c>
      <c r="B127" s="17" t="s">
        <v>22</v>
      </c>
      <c r="C127" s="18" t="s">
        <v>52</v>
      </c>
      <c r="D127" s="14">
        <v>6000</v>
      </c>
    </row>
    <row r="128" spans="1:4" x14ac:dyDescent="0.2">
      <c r="A128" t="s">
        <v>75</v>
      </c>
      <c r="B128" s="15" t="s">
        <v>22</v>
      </c>
      <c r="C128" s="16" t="s">
        <v>53</v>
      </c>
      <c r="D128" s="13">
        <v>6000</v>
      </c>
    </row>
    <row r="129" spans="1:4" x14ac:dyDescent="0.2">
      <c r="A129" t="s">
        <v>75</v>
      </c>
      <c r="B129" s="17" t="s">
        <v>22</v>
      </c>
      <c r="C129" s="18" t="s">
        <v>54</v>
      </c>
      <c r="D129" s="14">
        <v>6000</v>
      </c>
    </row>
    <row r="130" spans="1:4" x14ac:dyDescent="0.2">
      <c r="A130" t="s">
        <v>75</v>
      </c>
      <c r="B130" s="15" t="s">
        <v>22</v>
      </c>
      <c r="C130" s="16" t="s">
        <v>55</v>
      </c>
      <c r="D130" s="13">
        <v>6000</v>
      </c>
    </row>
    <row r="131" spans="1:4" x14ac:dyDescent="0.2">
      <c r="A131" t="s">
        <v>75</v>
      </c>
      <c r="B131" s="17" t="s">
        <v>22</v>
      </c>
      <c r="C131" s="18" t="s">
        <v>56</v>
      </c>
      <c r="D131" s="14">
        <v>6000</v>
      </c>
    </row>
    <row r="132" spans="1:4" x14ac:dyDescent="0.2">
      <c r="A132" t="s">
        <v>75</v>
      </c>
      <c r="B132" s="15" t="s">
        <v>22</v>
      </c>
      <c r="C132" s="16" t="s">
        <v>57</v>
      </c>
      <c r="D132" s="13">
        <v>6000</v>
      </c>
    </row>
    <row r="133" spans="1:4" x14ac:dyDescent="0.2">
      <c r="A133" t="s">
        <v>75</v>
      </c>
      <c r="B133" s="17" t="s">
        <v>22</v>
      </c>
      <c r="C133" s="18" t="s">
        <v>58</v>
      </c>
      <c r="D133" s="14">
        <v>6000</v>
      </c>
    </row>
    <row r="134" spans="1:4" x14ac:dyDescent="0.2">
      <c r="A134" t="s">
        <v>75</v>
      </c>
      <c r="B134" s="15" t="s">
        <v>22</v>
      </c>
      <c r="C134" s="16" t="s">
        <v>59</v>
      </c>
      <c r="D134" s="13">
        <v>6000</v>
      </c>
    </row>
    <row r="135" spans="1:4" x14ac:dyDescent="0.2">
      <c r="A135" t="s">
        <v>75</v>
      </c>
      <c r="B135" s="17" t="s">
        <v>22</v>
      </c>
      <c r="C135" s="18" t="s">
        <v>60</v>
      </c>
      <c r="D135" s="14">
        <v>6000</v>
      </c>
    </row>
    <row r="136" spans="1:4" x14ac:dyDescent="0.2">
      <c r="A136" t="s">
        <v>75</v>
      </c>
      <c r="B136" s="15" t="s">
        <v>22</v>
      </c>
      <c r="C136" s="16" t="s">
        <v>61</v>
      </c>
      <c r="D136" s="13">
        <v>6000</v>
      </c>
    </row>
    <row r="137" spans="1:4" x14ac:dyDescent="0.2">
      <c r="A137" t="s">
        <v>75</v>
      </c>
      <c r="B137" s="17" t="s">
        <v>22</v>
      </c>
      <c r="C137" s="18" t="s">
        <v>62</v>
      </c>
      <c r="D137" s="14">
        <v>6000</v>
      </c>
    </row>
    <row r="138" spans="1:4" x14ac:dyDescent="0.2">
      <c r="A138" t="s">
        <v>75</v>
      </c>
      <c r="B138" s="15" t="s">
        <v>22</v>
      </c>
      <c r="C138" s="16" t="s">
        <v>63</v>
      </c>
      <c r="D138" s="13">
        <v>6000</v>
      </c>
    </row>
    <row r="139" spans="1:4" x14ac:dyDescent="0.2">
      <c r="A139" t="s">
        <v>75</v>
      </c>
      <c r="B139" s="17" t="s">
        <v>22</v>
      </c>
      <c r="C139" s="18" t="s">
        <v>64</v>
      </c>
      <c r="D139" s="14">
        <v>6000</v>
      </c>
    </row>
    <row r="140" spans="1:4" x14ac:dyDescent="0.2">
      <c r="A140" t="s">
        <v>75</v>
      </c>
      <c r="B140" s="15" t="s">
        <v>22</v>
      </c>
      <c r="C140" s="16" t="s">
        <v>65</v>
      </c>
      <c r="D140" s="13">
        <v>6000</v>
      </c>
    </row>
    <row r="141" spans="1:4" x14ac:dyDescent="0.2">
      <c r="A141" t="s">
        <v>75</v>
      </c>
      <c r="B141" s="17" t="s">
        <v>22</v>
      </c>
      <c r="C141" s="18" t="s">
        <v>66</v>
      </c>
      <c r="D141" s="14">
        <v>6000</v>
      </c>
    </row>
    <row r="142" spans="1:4" x14ac:dyDescent="0.2">
      <c r="A142" t="s">
        <v>75</v>
      </c>
      <c r="B142" s="15" t="s">
        <v>22</v>
      </c>
      <c r="C142" s="16" t="s">
        <v>67</v>
      </c>
      <c r="D142" s="13">
        <v>6000</v>
      </c>
    </row>
    <row r="143" spans="1:4" x14ac:dyDescent="0.2">
      <c r="A143" t="s">
        <v>75</v>
      </c>
      <c r="B143" s="17" t="s">
        <v>22</v>
      </c>
      <c r="C143" s="18" t="s">
        <v>68</v>
      </c>
      <c r="D143" s="14">
        <v>6000</v>
      </c>
    </row>
    <row r="144" spans="1:4" x14ac:dyDescent="0.2">
      <c r="A144" t="s">
        <v>75</v>
      </c>
      <c r="B144" s="15" t="s">
        <v>22</v>
      </c>
      <c r="C144" s="16" t="s">
        <v>69</v>
      </c>
      <c r="D144" s="13">
        <v>6000</v>
      </c>
    </row>
    <row r="145" spans="1:4" x14ac:dyDescent="0.2">
      <c r="A145" t="s">
        <v>75</v>
      </c>
      <c r="B145" s="17" t="s">
        <v>22</v>
      </c>
      <c r="C145" s="18" t="s">
        <v>70</v>
      </c>
      <c r="D145" s="14">
        <v>6000</v>
      </c>
    </row>
    <row r="146" spans="1:4" x14ac:dyDescent="0.2">
      <c r="A146" t="s">
        <v>75</v>
      </c>
      <c r="B146" s="15" t="s">
        <v>22</v>
      </c>
      <c r="C146" s="16" t="s">
        <v>71</v>
      </c>
      <c r="D146" s="13">
        <v>6000</v>
      </c>
    </row>
    <row r="147" spans="1:4" x14ac:dyDescent="0.2">
      <c r="A147" t="s">
        <v>75</v>
      </c>
      <c r="B147" s="17" t="s">
        <v>22</v>
      </c>
      <c r="C147" s="18" t="s">
        <v>72</v>
      </c>
      <c r="D147" s="14">
        <v>6000</v>
      </c>
    </row>
    <row r="148" spans="1:4" x14ac:dyDescent="0.2">
      <c r="A148" t="s">
        <v>75</v>
      </c>
      <c r="B148" s="15" t="s">
        <v>22</v>
      </c>
      <c r="C148" s="16" t="s">
        <v>73</v>
      </c>
      <c r="D148" s="13">
        <v>6000</v>
      </c>
    </row>
    <row r="149" spans="1:4" x14ac:dyDescent="0.2">
      <c r="A149" t="s">
        <v>75</v>
      </c>
      <c r="B149" s="17" t="s">
        <v>22</v>
      </c>
      <c r="C149" s="18" t="s">
        <v>74</v>
      </c>
      <c r="D149" s="14">
        <v>6000</v>
      </c>
    </row>
    <row r="150" spans="1:4" x14ac:dyDescent="0.2">
      <c r="A150" t="s">
        <v>14</v>
      </c>
      <c r="B150" s="15" t="s">
        <v>23</v>
      </c>
      <c r="C150" s="16" t="s">
        <v>38</v>
      </c>
      <c r="D150" s="13">
        <v>0</v>
      </c>
    </row>
    <row r="151" spans="1:4" x14ac:dyDescent="0.2">
      <c r="A151" t="s">
        <v>14</v>
      </c>
      <c r="B151" s="17" t="s">
        <v>23</v>
      </c>
      <c r="C151" s="18" t="s">
        <v>39</v>
      </c>
      <c r="D151" s="14">
        <v>0.1</v>
      </c>
    </row>
    <row r="152" spans="1:4" x14ac:dyDescent="0.2">
      <c r="A152" t="s">
        <v>14</v>
      </c>
      <c r="B152" s="15" t="s">
        <v>23</v>
      </c>
      <c r="C152" s="16" t="s">
        <v>40</v>
      </c>
      <c r="D152" s="13">
        <v>0.25</v>
      </c>
    </row>
    <row r="153" spans="1:4" x14ac:dyDescent="0.2">
      <c r="A153" t="s">
        <v>14</v>
      </c>
      <c r="B153" s="17" t="s">
        <v>23</v>
      </c>
      <c r="C153" s="18" t="s">
        <v>41</v>
      </c>
      <c r="D153" s="14">
        <v>0.5</v>
      </c>
    </row>
    <row r="154" spans="1:4" x14ac:dyDescent="0.2">
      <c r="A154" t="s">
        <v>14</v>
      </c>
      <c r="B154" s="15" t="s">
        <v>23</v>
      </c>
      <c r="C154" s="16" t="s">
        <v>42</v>
      </c>
      <c r="D154" s="13">
        <v>0.75</v>
      </c>
    </row>
    <row r="155" spans="1:4" x14ac:dyDescent="0.2">
      <c r="A155" t="s">
        <v>14</v>
      </c>
      <c r="B155" s="17" t="s">
        <v>23</v>
      </c>
      <c r="C155" s="18" t="s">
        <v>43</v>
      </c>
      <c r="D155" s="14">
        <v>0.9</v>
      </c>
    </row>
    <row r="156" spans="1:4" x14ac:dyDescent="0.2">
      <c r="A156" t="s">
        <v>14</v>
      </c>
      <c r="B156" s="15" t="s">
        <v>23</v>
      </c>
      <c r="C156" s="16" t="s">
        <v>44</v>
      </c>
      <c r="D156" s="13">
        <v>1</v>
      </c>
    </row>
    <row r="157" spans="1:4" x14ac:dyDescent="0.2">
      <c r="A157" t="s">
        <v>14</v>
      </c>
      <c r="B157" s="17" t="s">
        <v>23</v>
      </c>
      <c r="C157" s="18" t="s">
        <v>45</v>
      </c>
      <c r="D157" s="14">
        <v>1</v>
      </c>
    </row>
    <row r="158" spans="1:4" x14ac:dyDescent="0.2">
      <c r="A158" t="s">
        <v>14</v>
      </c>
      <c r="B158" s="15" t="s">
        <v>23</v>
      </c>
      <c r="C158" s="16" t="s">
        <v>46</v>
      </c>
      <c r="D158" s="13">
        <v>1</v>
      </c>
    </row>
    <row r="159" spans="1:4" x14ac:dyDescent="0.2">
      <c r="A159" t="s">
        <v>14</v>
      </c>
      <c r="B159" s="17" t="s">
        <v>23</v>
      </c>
      <c r="C159" s="18" t="s">
        <v>47</v>
      </c>
      <c r="D159" s="14">
        <v>1</v>
      </c>
    </row>
    <row r="160" spans="1:4" x14ac:dyDescent="0.2">
      <c r="A160" t="s">
        <v>14</v>
      </c>
      <c r="B160" s="15" t="s">
        <v>23</v>
      </c>
      <c r="C160" s="16" t="s">
        <v>48</v>
      </c>
      <c r="D160" s="13">
        <v>1</v>
      </c>
    </row>
    <row r="161" spans="1:4" x14ac:dyDescent="0.2">
      <c r="A161" t="s">
        <v>14</v>
      </c>
      <c r="B161" s="17" t="s">
        <v>23</v>
      </c>
      <c r="C161" s="18" t="s">
        <v>49</v>
      </c>
      <c r="D161" s="14">
        <v>1</v>
      </c>
    </row>
    <row r="162" spans="1:4" x14ac:dyDescent="0.2">
      <c r="A162" t="s">
        <v>14</v>
      </c>
      <c r="B162" s="15" t="s">
        <v>23</v>
      </c>
      <c r="C162" s="16" t="s">
        <v>50</v>
      </c>
      <c r="D162" s="13">
        <v>1</v>
      </c>
    </row>
    <row r="163" spans="1:4" x14ac:dyDescent="0.2">
      <c r="A163" t="s">
        <v>14</v>
      </c>
      <c r="B163" s="17" t="s">
        <v>23</v>
      </c>
      <c r="C163" s="18" t="s">
        <v>51</v>
      </c>
      <c r="D163" s="14">
        <v>1</v>
      </c>
    </row>
    <row r="164" spans="1:4" x14ac:dyDescent="0.2">
      <c r="A164" t="s">
        <v>14</v>
      </c>
      <c r="B164" s="15" t="s">
        <v>23</v>
      </c>
      <c r="C164" s="16" t="s">
        <v>52</v>
      </c>
      <c r="D164" s="13">
        <v>1</v>
      </c>
    </row>
    <row r="165" spans="1:4" x14ac:dyDescent="0.2">
      <c r="A165" t="s">
        <v>14</v>
      </c>
      <c r="B165" s="17" t="s">
        <v>23</v>
      </c>
      <c r="C165" s="18" t="s">
        <v>53</v>
      </c>
      <c r="D165" s="14">
        <v>1</v>
      </c>
    </row>
    <row r="166" spans="1:4" x14ac:dyDescent="0.2">
      <c r="A166" t="s">
        <v>14</v>
      </c>
      <c r="B166" s="15" t="s">
        <v>23</v>
      </c>
      <c r="C166" s="16" t="s">
        <v>54</v>
      </c>
      <c r="D166" s="13">
        <v>1</v>
      </c>
    </row>
    <row r="167" spans="1:4" x14ac:dyDescent="0.2">
      <c r="A167" t="s">
        <v>14</v>
      </c>
      <c r="B167" s="17" t="s">
        <v>23</v>
      </c>
      <c r="C167" s="18" t="s">
        <v>55</v>
      </c>
      <c r="D167" s="14">
        <v>1</v>
      </c>
    </row>
    <row r="168" spans="1:4" x14ac:dyDescent="0.2">
      <c r="A168" t="s">
        <v>14</v>
      </c>
      <c r="B168" s="15" t="s">
        <v>23</v>
      </c>
      <c r="C168" s="16" t="s">
        <v>56</v>
      </c>
      <c r="D168" s="13">
        <v>1</v>
      </c>
    </row>
    <row r="169" spans="1:4" x14ac:dyDescent="0.2">
      <c r="A169" t="s">
        <v>14</v>
      </c>
      <c r="B169" s="17" t="s">
        <v>23</v>
      </c>
      <c r="C169" s="18" t="s">
        <v>57</v>
      </c>
      <c r="D169" s="14">
        <v>1</v>
      </c>
    </row>
    <row r="170" spans="1:4" x14ac:dyDescent="0.2">
      <c r="A170" t="s">
        <v>14</v>
      </c>
      <c r="B170" s="15" t="s">
        <v>23</v>
      </c>
      <c r="C170" s="16" t="s">
        <v>58</v>
      </c>
      <c r="D170" s="13">
        <v>1</v>
      </c>
    </row>
    <row r="171" spans="1:4" x14ac:dyDescent="0.2">
      <c r="A171" t="s">
        <v>14</v>
      </c>
      <c r="B171" s="17" t="s">
        <v>23</v>
      </c>
      <c r="C171" s="18" t="s">
        <v>59</v>
      </c>
      <c r="D171" s="14">
        <v>1</v>
      </c>
    </row>
    <row r="172" spans="1:4" x14ac:dyDescent="0.2">
      <c r="A172" t="s">
        <v>14</v>
      </c>
      <c r="B172" s="15" t="s">
        <v>23</v>
      </c>
      <c r="C172" s="16" t="s">
        <v>60</v>
      </c>
      <c r="D172" s="13">
        <v>1</v>
      </c>
    </row>
    <row r="173" spans="1:4" x14ac:dyDescent="0.2">
      <c r="A173" t="s">
        <v>14</v>
      </c>
      <c r="B173" s="17" t="s">
        <v>23</v>
      </c>
      <c r="C173" s="18" t="s">
        <v>61</v>
      </c>
      <c r="D173" s="14">
        <v>1</v>
      </c>
    </row>
    <row r="174" spans="1:4" x14ac:dyDescent="0.2">
      <c r="A174" t="s">
        <v>14</v>
      </c>
      <c r="B174" s="15" t="s">
        <v>23</v>
      </c>
      <c r="C174" s="16" t="s">
        <v>62</v>
      </c>
      <c r="D174" s="13">
        <v>1</v>
      </c>
    </row>
    <row r="175" spans="1:4" x14ac:dyDescent="0.2">
      <c r="A175" t="s">
        <v>14</v>
      </c>
      <c r="B175" s="17" t="s">
        <v>23</v>
      </c>
      <c r="C175" s="18" t="s">
        <v>63</v>
      </c>
      <c r="D175" s="14">
        <v>1</v>
      </c>
    </row>
    <row r="176" spans="1:4" x14ac:dyDescent="0.2">
      <c r="A176" t="s">
        <v>14</v>
      </c>
      <c r="B176" s="15" t="s">
        <v>23</v>
      </c>
      <c r="C176" s="16" t="s">
        <v>64</v>
      </c>
      <c r="D176" s="13">
        <v>1</v>
      </c>
    </row>
    <row r="177" spans="1:4" x14ac:dyDescent="0.2">
      <c r="A177" t="s">
        <v>14</v>
      </c>
      <c r="B177" s="17" t="s">
        <v>23</v>
      </c>
      <c r="C177" s="18" t="s">
        <v>65</v>
      </c>
      <c r="D177" s="14">
        <v>1</v>
      </c>
    </row>
    <row r="178" spans="1:4" x14ac:dyDescent="0.2">
      <c r="A178" t="s">
        <v>14</v>
      </c>
      <c r="B178" s="15" t="s">
        <v>23</v>
      </c>
      <c r="C178" s="16" t="s">
        <v>66</v>
      </c>
      <c r="D178" s="13">
        <v>1</v>
      </c>
    </row>
    <row r="179" spans="1:4" x14ac:dyDescent="0.2">
      <c r="A179" t="s">
        <v>14</v>
      </c>
      <c r="B179" s="17" t="s">
        <v>23</v>
      </c>
      <c r="C179" s="18" t="s">
        <v>67</v>
      </c>
      <c r="D179" s="14">
        <v>1</v>
      </c>
    </row>
    <row r="180" spans="1:4" x14ac:dyDescent="0.2">
      <c r="A180" t="s">
        <v>14</v>
      </c>
      <c r="B180" s="15" t="s">
        <v>23</v>
      </c>
      <c r="C180" s="16" t="s">
        <v>68</v>
      </c>
      <c r="D180" s="13">
        <v>1</v>
      </c>
    </row>
    <row r="181" spans="1:4" x14ac:dyDescent="0.2">
      <c r="A181" t="s">
        <v>14</v>
      </c>
      <c r="B181" s="17" t="s">
        <v>23</v>
      </c>
      <c r="C181" s="18" t="s">
        <v>69</v>
      </c>
      <c r="D181" s="14">
        <v>1</v>
      </c>
    </row>
    <row r="182" spans="1:4" x14ac:dyDescent="0.2">
      <c r="A182" t="s">
        <v>14</v>
      </c>
      <c r="B182" s="15" t="s">
        <v>23</v>
      </c>
      <c r="C182" s="16" t="s">
        <v>70</v>
      </c>
      <c r="D182" s="13">
        <v>1</v>
      </c>
    </row>
    <row r="183" spans="1:4" x14ac:dyDescent="0.2">
      <c r="A183" t="s">
        <v>14</v>
      </c>
      <c r="B183" s="17" t="s">
        <v>23</v>
      </c>
      <c r="C183" s="18" t="s">
        <v>71</v>
      </c>
      <c r="D183" s="14">
        <v>1</v>
      </c>
    </row>
    <row r="184" spans="1:4" x14ac:dyDescent="0.2">
      <c r="A184" t="s">
        <v>14</v>
      </c>
      <c r="B184" s="15" t="s">
        <v>23</v>
      </c>
      <c r="C184" s="16" t="s">
        <v>72</v>
      </c>
      <c r="D184" s="13">
        <v>1</v>
      </c>
    </row>
    <row r="185" spans="1:4" x14ac:dyDescent="0.2">
      <c r="A185" t="s">
        <v>14</v>
      </c>
      <c r="B185" s="17" t="s">
        <v>23</v>
      </c>
      <c r="C185" s="18" t="s">
        <v>73</v>
      </c>
      <c r="D185" s="14">
        <v>1</v>
      </c>
    </row>
    <row r="186" spans="1:4" x14ac:dyDescent="0.2">
      <c r="A186" t="s">
        <v>14</v>
      </c>
      <c r="B186" s="15" t="s">
        <v>23</v>
      </c>
      <c r="C186" s="16" t="s">
        <v>74</v>
      </c>
      <c r="D186" s="13">
        <v>1</v>
      </c>
    </row>
    <row r="187" spans="1:4" x14ac:dyDescent="0.2">
      <c r="A187" t="s">
        <v>14</v>
      </c>
      <c r="B187" s="17" t="s">
        <v>24</v>
      </c>
      <c r="C187" s="18" t="s">
        <v>38</v>
      </c>
      <c r="D187" s="14">
        <v>0</v>
      </c>
    </row>
    <row r="188" spans="1:4" x14ac:dyDescent="0.2">
      <c r="A188" t="s">
        <v>14</v>
      </c>
      <c r="B188" s="15" t="s">
        <v>24</v>
      </c>
      <c r="C188" s="16" t="s">
        <v>39</v>
      </c>
      <c r="D188" s="13">
        <v>20</v>
      </c>
    </row>
    <row r="189" spans="1:4" x14ac:dyDescent="0.2">
      <c r="A189" t="s">
        <v>14</v>
      </c>
      <c r="B189" s="17" t="s">
        <v>24</v>
      </c>
      <c r="C189" s="18" t="s">
        <v>40</v>
      </c>
      <c r="D189" s="14">
        <v>50</v>
      </c>
    </row>
    <row r="190" spans="1:4" x14ac:dyDescent="0.2">
      <c r="A190" t="s">
        <v>14</v>
      </c>
      <c r="B190" s="15" t="s">
        <v>24</v>
      </c>
      <c r="C190" s="16" t="s">
        <v>41</v>
      </c>
      <c r="D190" s="13">
        <v>100</v>
      </c>
    </row>
    <row r="191" spans="1:4" x14ac:dyDescent="0.2">
      <c r="A191" t="s">
        <v>14</v>
      </c>
      <c r="B191" s="17" t="s">
        <v>24</v>
      </c>
      <c r="C191" s="18" t="s">
        <v>42</v>
      </c>
      <c r="D191" s="14">
        <v>150</v>
      </c>
    </row>
    <row r="192" spans="1:4" x14ac:dyDescent="0.2">
      <c r="A192" t="s">
        <v>14</v>
      </c>
      <c r="B192" s="15" t="s">
        <v>24</v>
      </c>
      <c r="C192" s="16" t="s">
        <v>43</v>
      </c>
      <c r="D192" s="13">
        <v>180</v>
      </c>
    </row>
    <row r="193" spans="1:4" x14ac:dyDescent="0.2">
      <c r="A193" t="s">
        <v>14</v>
      </c>
      <c r="B193" s="17" t="s">
        <v>24</v>
      </c>
      <c r="C193" s="18" t="s">
        <v>44</v>
      </c>
      <c r="D193" s="14">
        <v>200</v>
      </c>
    </row>
    <row r="194" spans="1:4" x14ac:dyDescent="0.2">
      <c r="A194" t="s">
        <v>14</v>
      </c>
      <c r="B194" s="15" t="s">
        <v>24</v>
      </c>
      <c r="C194" s="16" t="s">
        <v>45</v>
      </c>
      <c r="D194" s="13">
        <v>200</v>
      </c>
    </row>
    <row r="195" spans="1:4" x14ac:dyDescent="0.2">
      <c r="A195" t="s">
        <v>14</v>
      </c>
      <c r="B195" s="17" t="s">
        <v>24</v>
      </c>
      <c r="C195" s="18" t="s">
        <v>46</v>
      </c>
      <c r="D195" s="14">
        <v>200</v>
      </c>
    </row>
    <row r="196" spans="1:4" x14ac:dyDescent="0.2">
      <c r="A196" t="s">
        <v>14</v>
      </c>
      <c r="B196" s="15" t="s">
        <v>24</v>
      </c>
      <c r="C196" s="16" t="s">
        <v>47</v>
      </c>
      <c r="D196" s="13">
        <v>200</v>
      </c>
    </row>
    <row r="197" spans="1:4" x14ac:dyDescent="0.2">
      <c r="A197" t="s">
        <v>14</v>
      </c>
      <c r="B197" s="17" t="s">
        <v>24</v>
      </c>
      <c r="C197" s="18" t="s">
        <v>48</v>
      </c>
      <c r="D197" s="14">
        <v>200</v>
      </c>
    </row>
    <row r="198" spans="1:4" x14ac:dyDescent="0.2">
      <c r="A198" t="s">
        <v>14</v>
      </c>
      <c r="B198" s="15" t="s">
        <v>24</v>
      </c>
      <c r="C198" s="16" t="s">
        <v>49</v>
      </c>
      <c r="D198" s="13">
        <v>200</v>
      </c>
    </row>
    <row r="199" spans="1:4" x14ac:dyDescent="0.2">
      <c r="A199" t="s">
        <v>14</v>
      </c>
      <c r="B199" s="17" t="s">
        <v>24</v>
      </c>
      <c r="C199" s="18" t="s">
        <v>50</v>
      </c>
      <c r="D199" s="14">
        <v>200</v>
      </c>
    </row>
    <row r="200" spans="1:4" x14ac:dyDescent="0.2">
      <c r="A200" t="s">
        <v>14</v>
      </c>
      <c r="B200" s="15" t="s">
        <v>24</v>
      </c>
      <c r="C200" s="16" t="s">
        <v>51</v>
      </c>
      <c r="D200" s="13">
        <v>200</v>
      </c>
    </row>
    <row r="201" spans="1:4" x14ac:dyDescent="0.2">
      <c r="A201" t="s">
        <v>14</v>
      </c>
      <c r="B201" s="17" t="s">
        <v>24</v>
      </c>
      <c r="C201" s="18" t="s">
        <v>52</v>
      </c>
      <c r="D201" s="14">
        <v>200</v>
      </c>
    </row>
    <row r="202" spans="1:4" x14ac:dyDescent="0.2">
      <c r="A202" t="s">
        <v>14</v>
      </c>
      <c r="B202" s="15" t="s">
        <v>24</v>
      </c>
      <c r="C202" s="16" t="s">
        <v>53</v>
      </c>
      <c r="D202" s="13">
        <v>200</v>
      </c>
    </row>
    <row r="203" spans="1:4" x14ac:dyDescent="0.2">
      <c r="A203" t="s">
        <v>14</v>
      </c>
      <c r="B203" s="17" t="s">
        <v>24</v>
      </c>
      <c r="C203" s="18" t="s">
        <v>54</v>
      </c>
      <c r="D203" s="14">
        <v>200</v>
      </c>
    </row>
    <row r="204" spans="1:4" x14ac:dyDescent="0.2">
      <c r="A204" t="s">
        <v>14</v>
      </c>
      <c r="B204" s="15" t="s">
        <v>24</v>
      </c>
      <c r="C204" s="16" t="s">
        <v>55</v>
      </c>
      <c r="D204" s="13">
        <v>200</v>
      </c>
    </row>
    <row r="205" spans="1:4" x14ac:dyDescent="0.2">
      <c r="A205" t="s">
        <v>14</v>
      </c>
      <c r="B205" s="17" t="s">
        <v>24</v>
      </c>
      <c r="C205" s="18" t="s">
        <v>56</v>
      </c>
      <c r="D205" s="14">
        <v>200</v>
      </c>
    </row>
    <row r="206" spans="1:4" x14ac:dyDescent="0.2">
      <c r="A206" t="s">
        <v>14</v>
      </c>
      <c r="B206" s="15" t="s">
        <v>24</v>
      </c>
      <c r="C206" s="16" t="s">
        <v>57</v>
      </c>
      <c r="D206" s="13">
        <v>200</v>
      </c>
    </row>
    <row r="207" spans="1:4" x14ac:dyDescent="0.2">
      <c r="A207" t="s">
        <v>14</v>
      </c>
      <c r="B207" s="17" t="s">
        <v>24</v>
      </c>
      <c r="C207" s="18" t="s">
        <v>58</v>
      </c>
      <c r="D207" s="14">
        <v>200</v>
      </c>
    </row>
    <row r="208" spans="1:4" x14ac:dyDescent="0.2">
      <c r="A208" t="s">
        <v>14</v>
      </c>
      <c r="B208" s="15" t="s">
        <v>24</v>
      </c>
      <c r="C208" s="16" t="s">
        <v>59</v>
      </c>
      <c r="D208" s="13">
        <v>200</v>
      </c>
    </row>
    <row r="209" spans="1:4" x14ac:dyDescent="0.2">
      <c r="A209" t="s">
        <v>14</v>
      </c>
      <c r="B209" s="17" t="s">
        <v>24</v>
      </c>
      <c r="C209" s="18" t="s">
        <v>60</v>
      </c>
      <c r="D209" s="14">
        <v>200</v>
      </c>
    </row>
    <row r="210" spans="1:4" x14ac:dyDescent="0.2">
      <c r="A210" t="s">
        <v>14</v>
      </c>
      <c r="B210" s="15" t="s">
        <v>24</v>
      </c>
      <c r="C210" s="16" t="s">
        <v>61</v>
      </c>
      <c r="D210" s="13">
        <v>200</v>
      </c>
    </row>
    <row r="211" spans="1:4" x14ac:dyDescent="0.2">
      <c r="A211" t="s">
        <v>14</v>
      </c>
      <c r="B211" s="17" t="s">
        <v>24</v>
      </c>
      <c r="C211" s="18" t="s">
        <v>62</v>
      </c>
      <c r="D211" s="14">
        <v>200</v>
      </c>
    </row>
    <row r="212" spans="1:4" x14ac:dyDescent="0.2">
      <c r="A212" t="s">
        <v>14</v>
      </c>
      <c r="B212" s="15" t="s">
        <v>24</v>
      </c>
      <c r="C212" s="16" t="s">
        <v>63</v>
      </c>
      <c r="D212" s="13">
        <v>200</v>
      </c>
    </row>
    <row r="213" spans="1:4" x14ac:dyDescent="0.2">
      <c r="A213" t="s">
        <v>14</v>
      </c>
      <c r="B213" s="17" t="s">
        <v>24</v>
      </c>
      <c r="C213" s="18" t="s">
        <v>64</v>
      </c>
      <c r="D213" s="14">
        <v>200</v>
      </c>
    </row>
    <row r="214" spans="1:4" x14ac:dyDescent="0.2">
      <c r="A214" t="s">
        <v>14</v>
      </c>
      <c r="B214" s="15" t="s">
        <v>24</v>
      </c>
      <c r="C214" s="16" t="s">
        <v>65</v>
      </c>
      <c r="D214" s="13">
        <v>200</v>
      </c>
    </row>
    <row r="215" spans="1:4" x14ac:dyDescent="0.2">
      <c r="A215" t="s">
        <v>14</v>
      </c>
      <c r="B215" s="17" t="s">
        <v>24</v>
      </c>
      <c r="C215" s="18" t="s">
        <v>66</v>
      </c>
      <c r="D215" s="14">
        <v>200</v>
      </c>
    </row>
    <row r="216" spans="1:4" x14ac:dyDescent="0.2">
      <c r="A216" t="s">
        <v>14</v>
      </c>
      <c r="B216" s="15" t="s">
        <v>24</v>
      </c>
      <c r="C216" s="16" t="s">
        <v>67</v>
      </c>
      <c r="D216" s="13">
        <v>200</v>
      </c>
    </row>
    <row r="217" spans="1:4" x14ac:dyDescent="0.2">
      <c r="A217" t="s">
        <v>14</v>
      </c>
      <c r="B217" s="17" t="s">
        <v>24</v>
      </c>
      <c r="C217" s="18" t="s">
        <v>68</v>
      </c>
      <c r="D217" s="14">
        <v>200</v>
      </c>
    </row>
    <row r="218" spans="1:4" x14ac:dyDescent="0.2">
      <c r="A218" t="s">
        <v>14</v>
      </c>
      <c r="B218" s="15" t="s">
        <v>24</v>
      </c>
      <c r="C218" s="16" t="s">
        <v>69</v>
      </c>
      <c r="D218" s="13">
        <v>200</v>
      </c>
    </row>
    <row r="219" spans="1:4" x14ac:dyDescent="0.2">
      <c r="A219" t="s">
        <v>14</v>
      </c>
      <c r="B219" s="17" t="s">
        <v>24</v>
      </c>
      <c r="C219" s="18" t="s">
        <v>70</v>
      </c>
      <c r="D219" s="14">
        <v>200</v>
      </c>
    </row>
    <row r="220" spans="1:4" x14ac:dyDescent="0.2">
      <c r="A220" t="s">
        <v>14</v>
      </c>
      <c r="B220" s="15" t="s">
        <v>24</v>
      </c>
      <c r="C220" s="16" t="s">
        <v>71</v>
      </c>
      <c r="D220" s="13">
        <v>200</v>
      </c>
    </row>
    <row r="221" spans="1:4" x14ac:dyDescent="0.2">
      <c r="A221" t="s">
        <v>14</v>
      </c>
      <c r="B221" s="17" t="s">
        <v>24</v>
      </c>
      <c r="C221" s="18" t="s">
        <v>72</v>
      </c>
      <c r="D221" s="14">
        <v>200</v>
      </c>
    </row>
    <row r="222" spans="1:4" x14ac:dyDescent="0.2">
      <c r="A222" t="s">
        <v>14</v>
      </c>
      <c r="B222" s="15" t="s">
        <v>24</v>
      </c>
      <c r="C222" s="16" t="s">
        <v>73</v>
      </c>
      <c r="D222" s="13">
        <v>200</v>
      </c>
    </row>
    <row r="223" spans="1:4" x14ac:dyDescent="0.2">
      <c r="A223" t="s">
        <v>14</v>
      </c>
      <c r="B223" s="17" t="s">
        <v>24</v>
      </c>
      <c r="C223" s="18" t="s">
        <v>74</v>
      </c>
      <c r="D223" s="14">
        <v>200</v>
      </c>
    </row>
    <row r="224" spans="1:4" x14ac:dyDescent="0.2">
      <c r="A224" t="s">
        <v>14</v>
      </c>
      <c r="B224" s="15" t="s">
        <v>25</v>
      </c>
      <c r="C224" s="16" t="s">
        <v>38</v>
      </c>
      <c r="D224" s="13">
        <v>0</v>
      </c>
    </row>
    <row r="225" spans="1:4" x14ac:dyDescent="0.2">
      <c r="A225" t="s">
        <v>14</v>
      </c>
      <c r="B225" s="17" t="s">
        <v>25</v>
      </c>
      <c r="C225" s="18" t="s">
        <v>39</v>
      </c>
      <c r="D225" s="14">
        <v>692.8</v>
      </c>
    </row>
    <row r="226" spans="1:4" x14ac:dyDescent="0.2">
      <c r="A226" t="s">
        <v>14</v>
      </c>
      <c r="B226" s="15" t="s">
        <v>25</v>
      </c>
      <c r="C226" s="16" t="s">
        <v>40</v>
      </c>
      <c r="D226" s="13">
        <v>1732</v>
      </c>
    </row>
    <row r="227" spans="1:4" x14ac:dyDescent="0.2">
      <c r="A227" t="s">
        <v>14</v>
      </c>
      <c r="B227" s="17" t="s">
        <v>25</v>
      </c>
      <c r="C227" s="18" t="s">
        <v>41</v>
      </c>
      <c r="D227" s="14">
        <v>3464</v>
      </c>
    </row>
    <row r="228" spans="1:4" x14ac:dyDescent="0.2">
      <c r="A228" t="s">
        <v>14</v>
      </c>
      <c r="B228" s="15" t="s">
        <v>25</v>
      </c>
      <c r="C228" s="16" t="s">
        <v>42</v>
      </c>
      <c r="D228" s="13">
        <v>5196</v>
      </c>
    </row>
    <row r="229" spans="1:4" x14ac:dyDescent="0.2">
      <c r="A229" t="s">
        <v>14</v>
      </c>
      <c r="B229" s="17" t="s">
        <v>25</v>
      </c>
      <c r="C229" s="18" t="s">
        <v>43</v>
      </c>
      <c r="D229" s="14">
        <v>6235.2</v>
      </c>
    </row>
    <row r="230" spans="1:4" x14ac:dyDescent="0.2">
      <c r="A230" t="s">
        <v>14</v>
      </c>
      <c r="B230" s="15" t="s">
        <v>25</v>
      </c>
      <c r="C230" s="16" t="s">
        <v>44</v>
      </c>
      <c r="D230" s="13">
        <v>6928</v>
      </c>
    </row>
    <row r="231" spans="1:4" x14ac:dyDescent="0.2">
      <c r="A231" t="s">
        <v>14</v>
      </c>
      <c r="B231" s="17" t="s">
        <v>25</v>
      </c>
      <c r="C231" s="18" t="s">
        <v>45</v>
      </c>
      <c r="D231" s="14">
        <v>6928</v>
      </c>
    </row>
    <row r="232" spans="1:4" x14ac:dyDescent="0.2">
      <c r="A232" t="s">
        <v>14</v>
      </c>
      <c r="B232" s="15" t="s">
        <v>25</v>
      </c>
      <c r="C232" s="16" t="s">
        <v>46</v>
      </c>
      <c r="D232" s="13">
        <v>6928</v>
      </c>
    </row>
    <row r="233" spans="1:4" x14ac:dyDescent="0.2">
      <c r="A233" t="s">
        <v>14</v>
      </c>
      <c r="B233" s="17" t="s">
        <v>25</v>
      </c>
      <c r="C233" s="18" t="s">
        <v>47</v>
      </c>
      <c r="D233" s="14">
        <v>6928</v>
      </c>
    </row>
    <row r="234" spans="1:4" x14ac:dyDescent="0.2">
      <c r="A234" t="s">
        <v>14</v>
      </c>
      <c r="B234" s="15" t="s">
        <v>25</v>
      </c>
      <c r="C234" s="16" t="s">
        <v>48</v>
      </c>
      <c r="D234" s="13">
        <v>6928</v>
      </c>
    </row>
    <row r="235" spans="1:4" x14ac:dyDescent="0.2">
      <c r="A235" t="s">
        <v>14</v>
      </c>
      <c r="B235" s="17" t="s">
        <v>25</v>
      </c>
      <c r="C235" s="18" t="s">
        <v>49</v>
      </c>
      <c r="D235" s="14">
        <v>6928</v>
      </c>
    </row>
    <row r="236" spans="1:4" x14ac:dyDescent="0.2">
      <c r="A236" t="s">
        <v>14</v>
      </c>
      <c r="B236" s="15" t="s">
        <v>25</v>
      </c>
      <c r="C236" s="16" t="s">
        <v>50</v>
      </c>
      <c r="D236" s="13">
        <v>6928</v>
      </c>
    </row>
    <row r="237" spans="1:4" x14ac:dyDescent="0.2">
      <c r="A237" t="s">
        <v>14</v>
      </c>
      <c r="B237" s="17" t="s">
        <v>25</v>
      </c>
      <c r="C237" s="18" t="s">
        <v>51</v>
      </c>
      <c r="D237" s="14">
        <v>6928</v>
      </c>
    </row>
    <row r="238" spans="1:4" x14ac:dyDescent="0.2">
      <c r="A238" t="s">
        <v>14</v>
      </c>
      <c r="B238" s="15" t="s">
        <v>25</v>
      </c>
      <c r="C238" s="16" t="s">
        <v>52</v>
      </c>
      <c r="D238" s="13">
        <v>6928</v>
      </c>
    </row>
    <row r="239" spans="1:4" x14ac:dyDescent="0.2">
      <c r="A239" t="s">
        <v>14</v>
      </c>
      <c r="B239" s="17" t="s">
        <v>25</v>
      </c>
      <c r="C239" s="18" t="s">
        <v>53</v>
      </c>
      <c r="D239" s="14">
        <v>6928</v>
      </c>
    </row>
    <row r="240" spans="1:4" x14ac:dyDescent="0.2">
      <c r="A240" t="s">
        <v>14</v>
      </c>
      <c r="B240" s="15" t="s">
        <v>25</v>
      </c>
      <c r="C240" s="16" t="s">
        <v>54</v>
      </c>
      <c r="D240" s="13">
        <v>6928</v>
      </c>
    </row>
    <row r="241" spans="1:4" x14ac:dyDescent="0.2">
      <c r="A241" t="s">
        <v>14</v>
      </c>
      <c r="B241" s="17" t="s">
        <v>25</v>
      </c>
      <c r="C241" s="18" t="s">
        <v>55</v>
      </c>
      <c r="D241" s="14">
        <v>6928</v>
      </c>
    </row>
    <row r="242" spans="1:4" x14ac:dyDescent="0.2">
      <c r="A242" t="s">
        <v>14</v>
      </c>
      <c r="B242" s="15" t="s">
        <v>25</v>
      </c>
      <c r="C242" s="16" t="s">
        <v>56</v>
      </c>
      <c r="D242" s="13">
        <v>6928</v>
      </c>
    </row>
    <row r="243" spans="1:4" x14ac:dyDescent="0.2">
      <c r="A243" t="s">
        <v>14</v>
      </c>
      <c r="B243" s="17" t="s">
        <v>25</v>
      </c>
      <c r="C243" s="18" t="s">
        <v>57</v>
      </c>
      <c r="D243" s="14">
        <v>6928</v>
      </c>
    </row>
    <row r="244" spans="1:4" x14ac:dyDescent="0.2">
      <c r="A244" t="s">
        <v>14</v>
      </c>
      <c r="B244" s="15" t="s">
        <v>25</v>
      </c>
      <c r="C244" s="16" t="s">
        <v>58</v>
      </c>
      <c r="D244" s="13">
        <v>6928</v>
      </c>
    </row>
    <row r="245" spans="1:4" x14ac:dyDescent="0.2">
      <c r="A245" t="s">
        <v>14</v>
      </c>
      <c r="B245" s="17" t="s">
        <v>25</v>
      </c>
      <c r="C245" s="18" t="s">
        <v>59</v>
      </c>
      <c r="D245" s="14">
        <v>6928</v>
      </c>
    </row>
    <row r="246" spans="1:4" x14ac:dyDescent="0.2">
      <c r="A246" t="s">
        <v>14</v>
      </c>
      <c r="B246" s="15" t="s">
        <v>25</v>
      </c>
      <c r="C246" s="16" t="s">
        <v>60</v>
      </c>
      <c r="D246" s="13">
        <v>6928</v>
      </c>
    </row>
    <row r="247" spans="1:4" x14ac:dyDescent="0.2">
      <c r="A247" t="s">
        <v>14</v>
      </c>
      <c r="B247" s="17" t="s">
        <v>25</v>
      </c>
      <c r="C247" s="18" t="s">
        <v>61</v>
      </c>
      <c r="D247" s="14">
        <v>6928</v>
      </c>
    </row>
    <row r="248" spans="1:4" x14ac:dyDescent="0.2">
      <c r="A248" t="s">
        <v>14</v>
      </c>
      <c r="B248" s="15" t="s">
        <v>25</v>
      </c>
      <c r="C248" s="16" t="s">
        <v>62</v>
      </c>
      <c r="D248" s="13">
        <v>6928</v>
      </c>
    </row>
    <row r="249" spans="1:4" x14ac:dyDescent="0.2">
      <c r="A249" t="s">
        <v>14</v>
      </c>
      <c r="B249" s="17" t="s">
        <v>25</v>
      </c>
      <c r="C249" s="18" t="s">
        <v>63</v>
      </c>
      <c r="D249" s="14">
        <v>6928</v>
      </c>
    </row>
    <row r="250" spans="1:4" x14ac:dyDescent="0.2">
      <c r="A250" t="s">
        <v>14</v>
      </c>
      <c r="B250" s="15" t="s">
        <v>25</v>
      </c>
      <c r="C250" s="16" t="s">
        <v>64</v>
      </c>
      <c r="D250" s="13">
        <v>6928</v>
      </c>
    </row>
    <row r="251" spans="1:4" x14ac:dyDescent="0.2">
      <c r="A251" t="s">
        <v>14</v>
      </c>
      <c r="B251" s="17" t="s">
        <v>25</v>
      </c>
      <c r="C251" s="18" t="s">
        <v>65</v>
      </c>
      <c r="D251" s="14">
        <v>6928</v>
      </c>
    </row>
    <row r="252" spans="1:4" x14ac:dyDescent="0.2">
      <c r="A252" t="s">
        <v>14</v>
      </c>
      <c r="B252" s="15" t="s">
        <v>25</v>
      </c>
      <c r="C252" s="16" t="s">
        <v>66</v>
      </c>
      <c r="D252" s="13">
        <v>6928</v>
      </c>
    </row>
    <row r="253" spans="1:4" x14ac:dyDescent="0.2">
      <c r="A253" t="s">
        <v>14</v>
      </c>
      <c r="B253" s="17" t="s">
        <v>25</v>
      </c>
      <c r="C253" s="18" t="s">
        <v>67</v>
      </c>
      <c r="D253" s="14">
        <v>6928</v>
      </c>
    </row>
    <row r="254" spans="1:4" x14ac:dyDescent="0.2">
      <c r="A254" t="s">
        <v>14</v>
      </c>
      <c r="B254" s="15" t="s">
        <v>25</v>
      </c>
      <c r="C254" s="16" t="s">
        <v>68</v>
      </c>
      <c r="D254" s="13">
        <v>6928</v>
      </c>
    </row>
    <row r="255" spans="1:4" x14ac:dyDescent="0.2">
      <c r="A255" t="s">
        <v>14</v>
      </c>
      <c r="B255" s="17" t="s">
        <v>25</v>
      </c>
      <c r="C255" s="18" t="s">
        <v>69</v>
      </c>
      <c r="D255" s="14">
        <v>6928</v>
      </c>
    </row>
    <row r="256" spans="1:4" x14ac:dyDescent="0.2">
      <c r="A256" t="s">
        <v>14</v>
      </c>
      <c r="B256" s="15" t="s">
        <v>25</v>
      </c>
      <c r="C256" s="16" t="s">
        <v>70</v>
      </c>
      <c r="D256" s="13">
        <v>6928</v>
      </c>
    </row>
    <row r="257" spans="1:4" x14ac:dyDescent="0.2">
      <c r="A257" t="s">
        <v>14</v>
      </c>
      <c r="B257" s="17" t="s">
        <v>25</v>
      </c>
      <c r="C257" s="18" t="s">
        <v>71</v>
      </c>
      <c r="D257" s="14">
        <v>6928</v>
      </c>
    </row>
    <row r="258" spans="1:4" x14ac:dyDescent="0.2">
      <c r="A258" t="s">
        <v>14</v>
      </c>
      <c r="B258" s="15" t="s">
        <v>25</v>
      </c>
      <c r="C258" s="16" t="s">
        <v>72</v>
      </c>
      <c r="D258" s="13">
        <v>6928</v>
      </c>
    </row>
    <row r="259" spans="1:4" x14ac:dyDescent="0.2">
      <c r="A259" t="s">
        <v>14</v>
      </c>
      <c r="B259" s="17" t="s">
        <v>25</v>
      </c>
      <c r="C259" s="18" t="s">
        <v>73</v>
      </c>
      <c r="D259" s="14">
        <v>6928</v>
      </c>
    </row>
    <row r="260" spans="1:4" x14ac:dyDescent="0.2">
      <c r="A260" t="s">
        <v>14</v>
      </c>
      <c r="B260" s="15" t="s">
        <v>25</v>
      </c>
      <c r="C260" s="16" t="s">
        <v>74</v>
      </c>
      <c r="D260" s="13">
        <v>6928</v>
      </c>
    </row>
    <row r="261" spans="1:4" x14ac:dyDescent="0.2">
      <c r="A261" t="s">
        <v>14</v>
      </c>
      <c r="B261" s="17" t="s">
        <v>26</v>
      </c>
      <c r="C261" s="18" t="s">
        <v>38</v>
      </c>
      <c r="D261" s="14">
        <v>0</v>
      </c>
    </row>
    <row r="262" spans="1:4" x14ac:dyDescent="0.2">
      <c r="A262" t="s">
        <v>14</v>
      </c>
      <c r="B262" s="15" t="s">
        <v>26</v>
      </c>
      <c r="C262" s="16" t="s">
        <v>39</v>
      </c>
      <c r="D262" s="13">
        <v>28311.538461538457</v>
      </c>
    </row>
    <row r="263" spans="1:4" x14ac:dyDescent="0.2">
      <c r="A263" t="s">
        <v>14</v>
      </c>
      <c r="B263" s="17" t="s">
        <v>26</v>
      </c>
      <c r="C263" s="18" t="s">
        <v>40</v>
      </c>
      <c r="D263" s="14">
        <v>70778.846153846156</v>
      </c>
    </row>
    <row r="264" spans="1:4" x14ac:dyDescent="0.2">
      <c r="A264" t="s">
        <v>14</v>
      </c>
      <c r="B264" s="15" t="s">
        <v>26</v>
      </c>
      <c r="C264" s="16" t="s">
        <v>41</v>
      </c>
      <c r="D264" s="13">
        <v>141557.69230769231</v>
      </c>
    </row>
    <row r="265" spans="1:4" x14ac:dyDescent="0.2">
      <c r="A265" t="s">
        <v>14</v>
      </c>
      <c r="B265" s="17" t="s">
        <v>26</v>
      </c>
      <c r="C265" s="18" t="s">
        <v>42</v>
      </c>
      <c r="D265" s="14">
        <v>212336.53846153844</v>
      </c>
    </row>
    <row r="266" spans="1:4" x14ac:dyDescent="0.2">
      <c r="A266" t="s">
        <v>14</v>
      </c>
      <c r="B266" s="15" t="s">
        <v>26</v>
      </c>
      <c r="C266" s="16" t="s">
        <v>43</v>
      </c>
      <c r="D266" s="13">
        <v>254803.84615384613</v>
      </c>
    </row>
    <row r="267" spans="1:4" x14ac:dyDescent="0.2">
      <c r="A267" t="s">
        <v>14</v>
      </c>
      <c r="B267" s="17" t="s">
        <v>26</v>
      </c>
      <c r="C267" s="18" t="s">
        <v>44</v>
      </c>
      <c r="D267" s="14">
        <v>283115.38461538462</v>
      </c>
    </row>
    <row r="268" spans="1:4" x14ac:dyDescent="0.2">
      <c r="A268" t="s">
        <v>14</v>
      </c>
      <c r="B268" s="15" t="s">
        <v>26</v>
      </c>
      <c r="C268" s="16" t="s">
        <v>45</v>
      </c>
      <c r="D268" s="13">
        <v>283115.38461538462</v>
      </c>
    </row>
    <row r="269" spans="1:4" x14ac:dyDescent="0.2">
      <c r="A269" t="s">
        <v>14</v>
      </c>
      <c r="B269" s="17" t="s">
        <v>26</v>
      </c>
      <c r="C269" s="18" t="s">
        <v>46</v>
      </c>
      <c r="D269" s="14">
        <v>283115.38461538462</v>
      </c>
    </row>
    <row r="270" spans="1:4" x14ac:dyDescent="0.2">
      <c r="A270" t="s">
        <v>14</v>
      </c>
      <c r="B270" s="15" t="s">
        <v>26</v>
      </c>
      <c r="C270" s="16" t="s">
        <v>47</v>
      </c>
      <c r="D270" s="13">
        <v>283115.38461538462</v>
      </c>
    </row>
    <row r="271" spans="1:4" x14ac:dyDescent="0.2">
      <c r="A271" t="s">
        <v>14</v>
      </c>
      <c r="B271" s="17" t="s">
        <v>26</v>
      </c>
      <c r="C271" s="18" t="s">
        <v>48</v>
      </c>
      <c r="D271" s="14">
        <v>283115.38461538462</v>
      </c>
    </row>
    <row r="272" spans="1:4" x14ac:dyDescent="0.2">
      <c r="A272" t="s">
        <v>14</v>
      </c>
      <c r="B272" s="15" t="s">
        <v>26</v>
      </c>
      <c r="C272" s="16" t="s">
        <v>49</v>
      </c>
      <c r="D272" s="13">
        <v>283115.38461538462</v>
      </c>
    </row>
    <row r="273" spans="1:4" x14ac:dyDescent="0.2">
      <c r="A273" t="s">
        <v>14</v>
      </c>
      <c r="B273" s="17" t="s">
        <v>26</v>
      </c>
      <c r="C273" s="18" t="s">
        <v>50</v>
      </c>
      <c r="D273" s="14">
        <v>283115.38461538462</v>
      </c>
    </row>
    <row r="274" spans="1:4" x14ac:dyDescent="0.2">
      <c r="A274" t="s">
        <v>14</v>
      </c>
      <c r="B274" s="15" t="s">
        <v>26</v>
      </c>
      <c r="C274" s="16" t="s">
        <v>51</v>
      </c>
      <c r="D274" s="13">
        <v>283115.38461538462</v>
      </c>
    </row>
    <row r="275" spans="1:4" x14ac:dyDescent="0.2">
      <c r="A275" t="s">
        <v>14</v>
      </c>
      <c r="B275" s="17" t="s">
        <v>26</v>
      </c>
      <c r="C275" s="18" t="s">
        <v>52</v>
      </c>
      <c r="D275" s="14">
        <v>283115.38461538462</v>
      </c>
    </row>
    <row r="276" spans="1:4" x14ac:dyDescent="0.2">
      <c r="A276" t="s">
        <v>14</v>
      </c>
      <c r="B276" s="15" t="s">
        <v>26</v>
      </c>
      <c r="C276" s="16" t="s">
        <v>53</v>
      </c>
      <c r="D276" s="13">
        <v>283115.38461538462</v>
      </c>
    </row>
    <row r="277" spans="1:4" x14ac:dyDescent="0.2">
      <c r="A277" t="s">
        <v>14</v>
      </c>
      <c r="B277" s="17" t="s">
        <v>26</v>
      </c>
      <c r="C277" s="18" t="s">
        <v>54</v>
      </c>
      <c r="D277" s="14">
        <v>283115.38461538462</v>
      </c>
    </row>
    <row r="278" spans="1:4" x14ac:dyDescent="0.2">
      <c r="A278" t="s">
        <v>14</v>
      </c>
      <c r="B278" s="15" t="s">
        <v>26</v>
      </c>
      <c r="C278" s="16" t="s">
        <v>55</v>
      </c>
      <c r="D278" s="13">
        <v>283115.38461538462</v>
      </c>
    </row>
    <row r="279" spans="1:4" x14ac:dyDescent="0.2">
      <c r="A279" t="s">
        <v>14</v>
      </c>
      <c r="B279" s="17" t="s">
        <v>26</v>
      </c>
      <c r="C279" s="18" t="s">
        <v>56</v>
      </c>
      <c r="D279" s="14">
        <v>283115.38461538462</v>
      </c>
    </row>
    <row r="280" spans="1:4" x14ac:dyDescent="0.2">
      <c r="A280" t="s">
        <v>14</v>
      </c>
      <c r="B280" s="15" t="s">
        <v>26</v>
      </c>
      <c r="C280" s="16" t="s">
        <v>57</v>
      </c>
      <c r="D280" s="13">
        <v>283115.38461538462</v>
      </c>
    </row>
    <row r="281" spans="1:4" x14ac:dyDescent="0.2">
      <c r="A281" t="s">
        <v>14</v>
      </c>
      <c r="B281" s="17" t="s">
        <v>26</v>
      </c>
      <c r="C281" s="18" t="s">
        <v>58</v>
      </c>
      <c r="D281" s="14">
        <v>283115.38461538462</v>
      </c>
    </row>
    <row r="282" spans="1:4" x14ac:dyDescent="0.2">
      <c r="A282" t="s">
        <v>14</v>
      </c>
      <c r="B282" s="15" t="s">
        <v>26</v>
      </c>
      <c r="C282" s="16" t="s">
        <v>59</v>
      </c>
      <c r="D282" s="13">
        <v>283115.38461538462</v>
      </c>
    </row>
    <row r="283" spans="1:4" x14ac:dyDescent="0.2">
      <c r="A283" t="s">
        <v>14</v>
      </c>
      <c r="B283" s="17" t="s">
        <v>26</v>
      </c>
      <c r="C283" s="18" t="s">
        <v>60</v>
      </c>
      <c r="D283" s="14">
        <v>283115.38461538462</v>
      </c>
    </row>
    <row r="284" spans="1:4" x14ac:dyDescent="0.2">
      <c r="A284" t="s">
        <v>14</v>
      </c>
      <c r="B284" s="15" t="s">
        <v>26</v>
      </c>
      <c r="C284" s="16" t="s">
        <v>61</v>
      </c>
      <c r="D284" s="13">
        <v>283115.38461538462</v>
      </c>
    </row>
    <row r="285" spans="1:4" x14ac:dyDescent="0.2">
      <c r="A285" t="s">
        <v>14</v>
      </c>
      <c r="B285" s="17" t="s">
        <v>26</v>
      </c>
      <c r="C285" s="18" t="s">
        <v>62</v>
      </c>
      <c r="D285" s="14">
        <v>283115.38461538462</v>
      </c>
    </row>
    <row r="286" spans="1:4" x14ac:dyDescent="0.2">
      <c r="A286" t="s">
        <v>14</v>
      </c>
      <c r="B286" s="15" t="s">
        <v>26</v>
      </c>
      <c r="C286" s="16" t="s">
        <v>63</v>
      </c>
      <c r="D286" s="13">
        <v>283115.38461538462</v>
      </c>
    </row>
    <row r="287" spans="1:4" x14ac:dyDescent="0.2">
      <c r="A287" t="s">
        <v>14</v>
      </c>
      <c r="B287" s="17" t="s">
        <v>26</v>
      </c>
      <c r="C287" s="18" t="s">
        <v>64</v>
      </c>
      <c r="D287" s="14">
        <v>283115.38461538462</v>
      </c>
    </row>
    <row r="288" spans="1:4" x14ac:dyDescent="0.2">
      <c r="A288" t="s">
        <v>14</v>
      </c>
      <c r="B288" s="15" t="s">
        <v>26</v>
      </c>
      <c r="C288" s="16" t="s">
        <v>65</v>
      </c>
      <c r="D288" s="13">
        <v>283115.38461538462</v>
      </c>
    </row>
    <row r="289" spans="1:4" x14ac:dyDescent="0.2">
      <c r="A289" t="s">
        <v>14</v>
      </c>
      <c r="B289" s="17" t="s">
        <v>26</v>
      </c>
      <c r="C289" s="18" t="s">
        <v>66</v>
      </c>
      <c r="D289" s="14">
        <v>283115.38461538462</v>
      </c>
    </row>
    <row r="290" spans="1:4" x14ac:dyDescent="0.2">
      <c r="A290" t="s">
        <v>14</v>
      </c>
      <c r="B290" s="15" t="s">
        <v>26</v>
      </c>
      <c r="C290" s="16" t="s">
        <v>67</v>
      </c>
      <c r="D290" s="13">
        <v>283115.38461538462</v>
      </c>
    </row>
    <row r="291" spans="1:4" x14ac:dyDescent="0.2">
      <c r="A291" t="s">
        <v>14</v>
      </c>
      <c r="B291" s="17" t="s">
        <v>26</v>
      </c>
      <c r="C291" s="18" t="s">
        <v>68</v>
      </c>
      <c r="D291" s="14">
        <v>283115.38461538462</v>
      </c>
    </row>
    <row r="292" spans="1:4" x14ac:dyDescent="0.2">
      <c r="A292" t="s">
        <v>14</v>
      </c>
      <c r="B292" s="15" t="s">
        <v>26</v>
      </c>
      <c r="C292" s="16" t="s">
        <v>69</v>
      </c>
      <c r="D292" s="13">
        <v>283115.38461538462</v>
      </c>
    </row>
    <row r="293" spans="1:4" x14ac:dyDescent="0.2">
      <c r="A293" t="s">
        <v>14</v>
      </c>
      <c r="B293" s="17" t="s">
        <v>26</v>
      </c>
      <c r="C293" s="18" t="s">
        <v>70</v>
      </c>
      <c r="D293" s="14">
        <v>283115.38461538462</v>
      </c>
    </row>
    <row r="294" spans="1:4" x14ac:dyDescent="0.2">
      <c r="A294" t="s">
        <v>14</v>
      </c>
      <c r="B294" s="15" t="s">
        <v>26</v>
      </c>
      <c r="C294" s="16" t="s">
        <v>71</v>
      </c>
      <c r="D294" s="13">
        <v>283115.38461538462</v>
      </c>
    </row>
    <row r="295" spans="1:4" x14ac:dyDescent="0.2">
      <c r="A295" t="s">
        <v>14</v>
      </c>
      <c r="B295" s="17" t="s">
        <v>26</v>
      </c>
      <c r="C295" s="18" t="s">
        <v>72</v>
      </c>
      <c r="D295" s="14">
        <v>283115.38461538462</v>
      </c>
    </row>
    <row r="296" spans="1:4" x14ac:dyDescent="0.2">
      <c r="A296" t="s">
        <v>14</v>
      </c>
      <c r="B296" s="15" t="s">
        <v>26</v>
      </c>
      <c r="C296" s="16" t="s">
        <v>73</v>
      </c>
      <c r="D296" s="13">
        <v>283115.38461538462</v>
      </c>
    </row>
    <row r="297" spans="1:4" x14ac:dyDescent="0.2">
      <c r="A297" t="s">
        <v>14</v>
      </c>
      <c r="B297" s="17" t="s">
        <v>26</v>
      </c>
      <c r="C297" s="18" t="s">
        <v>74</v>
      </c>
      <c r="D297" s="14">
        <v>283115.38461538462</v>
      </c>
    </row>
    <row r="298" spans="1:4" x14ac:dyDescent="0.2">
      <c r="A298" t="s">
        <v>14</v>
      </c>
      <c r="B298" s="15" t="s">
        <v>27</v>
      </c>
      <c r="C298" s="16" t="s">
        <v>38</v>
      </c>
      <c r="D298" s="13">
        <v>0</v>
      </c>
    </row>
    <row r="299" spans="1:4" x14ac:dyDescent="0.2">
      <c r="A299" t="s">
        <v>14</v>
      </c>
      <c r="B299" s="17" t="s">
        <v>27</v>
      </c>
      <c r="C299" s="18" t="s">
        <v>39</v>
      </c>
      <c r="D299" s="14">
        <v>28311.538461538457</v>
      </c>
    </row>
    <row r="300" spans="1:4" x14ac:dyDescent="0.2">
      <c r="A300" t="s">
        <v>14</v>
      </c>
      <c r="B300" s="15" t="s">
        <v>27</v>
      </c>
      <c r="C300" s="16" t="s">
        <v>40</v>
      </c>
      <c r="D300" s="13">
        <v>70778.846153846156</v>
      </c>
    </row>
    <row r="301" spans="1:4" x14ac:dyDescent="0.2">
      <c r="A301" t="s">
        <v>14</v>
      </c>
      <c r="B301" s="17" t="s">
        <v>27</v>
      </c>
      <c r="C301" s="18" t="s">
        <v>41</v>
      </c>
      <c r="D301" s="14">
        <v>141557.69230769231</v>
      </c>
    </row>
    <row r="302" spans="1:4" x14ac:dyDescent="0.2">
      <c r="A302" t="s">
        <v>14</v>
      </c>
      <c r="B302" s="15" t="s">
        <v>27</v>
      </c>
      <c r="C302" s="16" t="s">
        <v>42</v>
      </c>
      <c r="D302" s="13">
        <v>212336.53846153844</v>
      </c>
    </row>
    <row r="303" spans="1:4" x14ac:dyDescent="0.2">
      <c r="A303" t="s">
        <v>14</v>
      </c>
      <c r="B303" s="17" t="s">
        <v>27</v>
      </c>
      <c r="C303" s="18" t="s">
        <v>43</v>
      </c>
      <c r="D303" s="14">
        <v>254803.84615384613</v>
      </c>
    </row>
    <row r="304" spans="1:4" x14ac:dyDescent="0.2">
      <c r="A304" t="s">
        <v>14</v>
      </c>
      <c r="B304" s="15" t="s">
        <v>27</v>
      </c>
      <c r="C304" s="16" t="s">
        <v>44</v>
      </c>
      <c r="D304" s="13">
        <v>283115.38461538462</v>
      </c>
    </row>
    <row r="305" spans="1:4" x14ac:dyDescent="0.2">
      <c r="A305" t="s">
        <v>14</v>
      </c>
      <c r="B305" s="17" t="s">
        <v>27</v>
      </c>
      <c r="C305" s="18" t="s">
        <v>45</v>
      </c>
      <c r="D305" s="14">
        <v>283115.38461538462</v>
      </c>
    </row>
    <row r="306" spans="1:4" x14ac:dyDescent="0.2">
      <c r="A306" t="s">
        <v>14</v>
      </c>
      <c r="B306" s="15" t="s">
        <v>27</v>
      </c>
      <c r="C306" s="16" t="s">
        <v>46</v>
      </c>
      <c r="D306" s="13">
        <v>283115.38461538462</v>
      </c>
    </row>
    <row r="307" spans="1:4" x14ac:dyDescent="0.2">
      <c r="A307" t="s">
        <v>14</v>
      </c>
      <c r="B307" s="17" t="s">
        <v>27</v>
      </c>
      <c r="C307" s="18" t="s">
        <v>47</v>
      </c>
      <c r="D307" s="14">
        <v>283115.38461538462</v>
      </c>
    </row>
    <row r="308" spans="1:4" x14ac:dyDescent="0.2">
      <c r="A308" t="s">
        <v>14</v>
      </c>
      <c r="B308" s="15" t="s">
        <v>27</v>
      </c>
      <c r="C308" s="16" t="s">
        <v>48</v>
      </c>
      <c r="D308" s="13">
        <v>283115.38461538462</v>
      </c>
    </row>
    <row r="309" spans="1:4" x14ac:dyDescent="0.2">
      <c r="A309" t="s">
        <v>14</v>
      </c>
      <c r="B309" s="17" t="s">
        <v>27</v>
      </c>
      <c r="C309" s="18" t="s">
        <v>49</v>
      </c>
      <c r="D309" s="14">
        <v>283115.38461538462</v>
      </c>
    </row>
    <row r="310" spans="1:4" x14ac:dyDescent="0.2">
      <c r="A310" t="s">
        <v>14</v>
      </c>
      <c r="B310" s="15" t="s">
        <v>27</v>
      </c>
      <c r="C310" s="16" t="s">
        <v>50</v>
      </c>
      <c r="D310" s="13">
        <v>283115.38461538462</v>
      </c>
    </row>
    <row r="311" spans="1:4" x14ac:dyDescent="0.2">
      <c r="A311" t="s">
        <v>14</v>
      </c>
      <c r="B311" s="17" t="s">
        <v>27</v>
      </c>
      <c r="C311" s="18" t="s">
        <v>51</v>
      </c>
      <c r="D311" s="14">
        <v>283115.38461538462</v>
      </c>
    </row>
    <row r="312" spans="1:4" x14ac:dyDescent="0.2">
      <c r="A312" t="s">
        <v>14</v>
      </c>
      <c r="B312" s="15" t="s">
        <v>27</v>
      </c>
      <c r="C312" s="16" t="s">
        <v>52</v>
      </c>
      <c r="D312" s="13">
        <v>283115.38461538462</v>
      </c>
    </row>
    <row r="313" spans="1:4" x14ac:dyDescent="0.2">
      <c r="A313" t="s">
        <v>14</v>
      </c>
      <c r="B313" s="17" t="s">
        <v>27</v>
      </c>
      <c r="C313" s="18" t="s">
        <v>53</v>
      </c>
      <c r="D313" s="14">
        <v>283115.38461538462</v>
      </c>
    </row>
    <row r="314" spans="1:4" x14ac:dyDescent="0.2">
      <c r="A314" t="s">
        <v>14</v>
      </c>
      <c r="B314" s="15" t="s">
        <v>27</v>
      </c>
      <c r="C314" s="16" t="s">
        <v>54</v>
      </c>
      <c r="D314" s="13">
        <v>283115.38461538462</v>
      </c>
    </row>
    <row r="315" spans="1:4" x14ac:dyDescent="0.2">
      <c r="A315" t="s">
        <v>14</v>
      </c>
      <c r="B315" s="17" t="s">
        <v>27</v>
      </c>
      <c r="C315" s="18" t="s">
        <v>55</v>
      </c>
      <c r="D315" s="14">
        <v>283115.38461538462</v>
      </c>
    </row>
    <row r="316" spans="1:4" x14ac:dyDescent="0.2">
      <c r="A316" t="s">
        <v>14</v>
      </c>
      <c r="B316" s="15" t="s">
        <v>27</v>
      </c>
      <c r="C316" s="16" t="s">
        <v>56</v>
      </c>
      <c r="D316" s="13">
        <v>283115.38461538462</v>
      </c>
    </row>
    <row r="317" spans="1:4" x14ac:dyDescent="0.2">
      <c r="A317" t="s">
        <v>14</v>
      </c>
      <c r="B317" s="17" t="s">
        <v>27</v>
      </c>
      <c r="C317" s="18" t="s">
        <v>57</v>
      </c>
      <c r="D317" s="14">
        <v>283115.38461538462</v>
      </c>
    </row>
    <row r="318" spans="1:4" x14ac:dyDescent="0.2">
      <c r="A318" t="s">
        <v>14</v>
      </c>
      <c r="B318" s="15" t="s">
        <v>27</v>
      </c>
      <c r="C318" s="16" t="s">
        <v>58</v>
      </c>
      <c r="D318" s="13">
        <v>283115.38461538462</v>
      </c>
    </row>
    <row r="319" spans="1:4" x14ac:dyDescent="0.2">
      <c r="A319" t="s">
        <v>14</v>
      </c>
      <c r="B319" s="17" t="s">
        <v>27</v>
      </c>
      <c r="C319" s="18" t="s">
        <v>59</v>
      </c>
      <c r="D319" s="14">
        <v>283115.38461538462</v>
      </c>
    </row>
    <row r="320" spans="1:4" x14ac:dyDescent="0.2">
      <c r="A320" t="s">
        <v>14</v>
      </c>
      <c r="B320" s="15" t="s">
        <v>27</v>
      </c>
      <c r="C320" s="16" t="s">
        <v>60</v>
      </c>
      <c r="D320" s="13">
        <v>283115.38461538462</v>
      </c>
    </row>
    <row r="321" spans="1:4" x14ac:dyDescent="0.2">
      <c r="A321" t="s">
        <v>14</v>
      </c>
      <c r="B321" s="17" t="s">
        <v>27</v>
      </c>
      <c r="C321" s="18" t="s">
        <v>61</v>
      </c>
      <c r="D321" s="14">
        <v>283115.38461538462</v>
      </c>
    </row>
    <row r="322" spans="1:4" x14ac:dyDescent="0.2">
      <c r="A322" t="s">
        <v>14</v>
      </c>
      <c r="B322" s="15" t="s">
        <v>27</v>
      </c>
      <c r="C322" s="16" t="s">
        <v>62</v>
      </c>
      <c r="D322" s="13">
        <v>283115.38461538462</v>
      </c>
    </row>
    <row r="323" spans="1:4" x14ac:dyDescent="0.2">
      <c r="A323" t="s">
        <v>14</v>
      </c>
      <c r="B323" s="17" t="s">
        <v>27</v>
      </c>
      <c r="C323" s="18" t="s">
        <v>63</v>
      </c>
      <c r="D323" s="14">
        <v>283115.38461538462</v>
      </c>
    </row>
    <row r="324" spans="1:4" x14ac:dyDescent="0.2">
      <c r="A324" t="s">
        <v>14</v>
      </c>
      <c r="B324" s="15" t="s">
        <v>27</v>
      </c>
      <c r="C324" s="16" t="s">
        <v>64</v>
      </c>
      <c r="D324" s="13">
        <v>283115.38461538462</v>
      </c>
    </row>
    <row r="325" spans="1:4" x14ac:dyDescent="0.2">
      <c r="A325" t="s">
        <v>14</v>
      </c>
      <c r="B325" s="17" t="s">
        <v>27</v>
      </c>
      <c r="C325" s="18" t="s">
        <v>65</v>
      </c>
      <c r="D325" s="14">
        <v>283115.38461538462</v>
      </c>
    </row>
    <row r="326" spans="1:4" x14ac:dyDescent="0.2">
      <c r="A326" t="s">
        <v>14</v>
      </c>
      <c r="B326" s="15" t="s">
        <v>27</v>
      </c>
      <c r="C326" s="16" t="s">
        <v>66</v>
      </c>
      <c r="D326" s="13">
        <v>283115.38461538462</v>
      </c>
    </row>
    <row r="327" spans="1:4" x14ac:dyDescent="0.2">
      <c r="A327" t="s">
        <v>14</v>
      </c>
      <c r="B327" s="17" t="s">
        <v>27</v>
      </c>
      <c r="C327" s="18" t="s">
        <v>67</v>
      </c>
      <c r="D327" s="14">
        <v>283115.38461538462</v>
      </c>
    </row>
    <row r="328" spans="1:4" x14ac:dyDescent="0.2">
      <c r="A328" t="s">
        <v>14</v>
      </c>
      <c r="B328" s="15" t="s">
        <v>27</v>
      </c>
      <c r="C328" s="16" t="s">
        <v>68</v>
      </c>
      <c r="D328" s="13">
        <v>283115.38461538462</v>
      </c>
    </row>
    <row r="329" spans="1:4" x14ac:dyDescent="0.2">
      <c r="A329" t="s">
        <v>14</v>
      </c>
      <c r="B329" s="17" t="s">
        <v>27</v>
      </c>
      <c r="C329" s="18" t="s">
        <v>69</v>
      </c>
      <c r="D329" s="14">
        <v>283115.38461538462</v>
      </c>
    </row>
    <row r="330" spans="1:4" x14ac:dyDescent="0.2">
      <c r="A330" t="s">
        <v>14</v>
      </c>
      <c r="B330" s="15" t="s">
        <v>27</v>
      </c>
      <c r="C330" s="16" t="s">
        <v>70</v>
      </c>
      <c r="D330" s="13">
        <v>283115.38461538462</v>
      </c>
    </row>
    <row r="331" spans="1:4" x14ac:dyDescent="0.2">
      <c r="A331" t="s">
        <v>14</v>
      </c>
      <c r="B331" s="17" t="s">
        <v>27</v>
      </c>
      <c r="C331" s="18" t="s">
        <v>71</v>
      </c>
      <c r="D331" s="14">
        <v>283115.38461538462</v>
      </c>
    </row>
    <row r="332" spans="1:4" x14ac:dyDescent="0.2">
      <c r="A332" t="s">
        <v>14</v>
      </c>
      <c r="B332" s="15" t="s">
        <v>27</v>
      </c>
      <c r="C332" s="16" t="s">
        <v>72</v>
      </c>
      <c r="D332" s="13">
        <v>283115.38461538462</v>
      </c>
    </row>
    <row r="333" spans="1:4" x14ac:dyDescent="0.2">
      <c r="A333" t="s">
        <v>14</v>
      </c>
      <c r="B333" s="17" t="s">
        <v>27</v>
      </c>
      <c r="C333" s="18" t="s">
        <v>73</v>
      </c>
      <c r="D333" s="14">
        <v>283115.38461538462</v>
      </c>
    </row>
    <row r="334" spans="1:4" x14ac:dyDescent="0.2">
      <c r="A334" t="s">
        <v>14</v>
      </c>
      <c r="B334" s="15" t="s">
        <v>27</v>
      </c>
      <c r="C334" s="16" t="s">
        <v>74</v>
      </c>
      <c r="D334" s="13">
        <v>283115.38461538462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256987-FAB4-E54B-BBB2-16957DE96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Cost_Tableau Export</vt:lpstr>
      <vt:lpstr>Costs</vt:lpstr>
      <vt:lpstr>Benefits_Tableau Export</vt:lpstr>
      <vt:lpstr>Benefits</vt:lpstr>
      <vt:lpstr>Dashboard</vt:lpstr>
      <vt:lpstr>Tableau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Majumdar [MASTER OF BUSINESS ADMINISTRATION (MBA) - 2025]</dc:creator>
  <cp:lastModifiedBy>Arnab Majumdar [MASTER OF BUSINESS ADMINISTRATION (MBA</cp:lastModifiedBy>
  <dcterms:created xsi:type="dcterms:W3CDTF">2026-06-11T13:47:46Z</dcterms:created>
  <dcterms:modified xsi:type="dcterms:W3CDTF">2026-06-12T11:20:20Z</dcterms:modified>
</cp:coreProperties>
</file>